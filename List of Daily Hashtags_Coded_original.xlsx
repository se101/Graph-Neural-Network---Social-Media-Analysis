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DailyHashtag" sheetId="1" r:id="rId4"/>
    <sheet state="visible" name="Copy of Final_DailyHashtag 1" sheetId="2" r:id="rId5"/>
    <sheet state="visible" name="Sorted Final_DailyHashtag " sheetId="3" r:id="rId6"/>
    <sheet state="visible" name="Copy of Final_DailyHashtag" sheetId="4" r:id="rId7"/>
    <sheet state="visible" name="tweet_count" sheetId="5" r:id="rId8"/>
  </sheets>
  <definedNames>
    <definedName hidden="1" localSheetId="1" name="_xlnm._FilterDatabase">'Copy of Final_DailyHashtag 1'!$A$1:$O$190</definedName>
  </definedNames>
  <calcPr/>
  <extLst>
    <ext uri="GoogleSheetsCustomDataVersion1">
      <go:sheetsCustomData xmlns:go="http://customooxmlschemas.google.com/" r:id="rId9" roundtripDataSignature="AMtx7mgH1ZnTCZAhkqAjoeiMO1dmLsLxZw=="/>
    </ext>
  </extLst>
</workbook>
</file>

<file path=xl/sharedStrings.xml><?xml version="1.0" encoding="utf-8"?>
<sst xmlns="http://schemas.openxmlformats.org/spreadsheetml/2006/main" count="4512" uniqueCount="584">
  <si>
    <t>Hashtag</t>
  </si>
  <si>
    <t>Final Code</t>
  </si>
  <si>
    <t>Translation</t>
  </si>
  <si>
    <t>Dates</t>
  </si>
  <si>
    <t>Tweets</t>
  </si>
  <si>
    <t>Level 1</t>
  </si>
  <si>
    <t>Level 1.1</t>
  </si>
  <si>
    <t>Level 2</t>
  </si>
  <si>
    <t xml:space="preserve">D: Level 1 </t>
  </si>
  <si>
    <t>D: Level 1.1</t>
  </si>
  <si>
    <t>D: Level 2</t>
  </si>
  <si>
    <t>Comparison</t>
  </si>
  <si>
    <t>P: Level 1</t>
  </si>
  <si>
    <t>26January</t>
  </si>
  <si>
    <t>['2021-01-22 08:34:42', '2021-01-10 10:52:12']</t>
  </si>
  <si>
    <t>E</t>
  </si>
  <si>
    <t>Protest Date</t>
  </si>
  <si>
    <t>Commemorative</t>
  </si>
  <si>
    <t xml:space="preserve">Event/action </t>
  </si>
  <si>
    <t>Info</t>
  </si>
  <si>
    <t>1YearOfKillerFarmLaws</t>
  </si>
  <si>
    <t>['2021-06-05 04:15:54', '2021-06-05 01:30:12']</t>
  </si>
  <si>
    <t>Protest duration</t>
  </si>
  <si>
    <t>Subject: farm laws</t>
  </si>
  <si>
    <t>critique</t>
  </si>
  <si>
    <t>200DaysOfFarmersProtest</t>
  </si>
  <si>
    <t>['2021-06-14 08:06:46', '2021-06-14 06:00:02', '2021-06-14 04:52:42', '2021-06-14 01:30:05']</t>
  </si>
  <si>
    <t>Sub: protest</t>
  </si>
  <si>
    <t>Reminder</t>
  </si>
  <si>
    <t>23March_किसानों_के_साथ</t>
  </si>
  <si>
    <t>['2021-03-22 03:59:05', '2021-03-22 02:29:50', '2021-03-22 01:42:03']</t>
  </si>
  <si>
    <t>inform</t>
  </si>
  <si>
    <t>E/G</t>
  </si>
  <si>
    <t>event; group support</t>
  </si>
  <si>
    <t>26JanDelhiChalo</t>
  </si>
  <si>
    <t>['2021-01-23 17:31:38', '2021-01-23 01:31:30']</t>
  </si>
  <si>
    <t>Protest date</t>
  </si>
  <si>
    <t xml:space="preserve">Event/Announcemnt </t>
  </si>
  <si>
    <t>300DeathsAtProtest</t>
  </si>
  <si>
    <t>['2021-03-18 07:08:55', '2021-03-18 01:30:08']</t>
  </si>
  <si>
    <t>Farmer deaths</t>
  </si>
  <si>
    <t>S</t>
  </si>
  <si>
    <t>Death</t>
  </si>
  <si>
    <t>Info/critique</t>
  </si>
  <si>
    <t>500DeathsAtFarmersProtest</t>
  </si>
  <si>
    <t>['2021-06-09 05:22:43', '2021-06-09 02:35:10', '2021-06-09 01:30:11']</t>
  </si>
  <si>
    <t>5MonthsOfFarmersProtest</t>
  </si>
  <si>
    <t>['2021-05-03 15:09:49', '2021-05-02 11:41:56', '2021-04-28 01:30:07']</t>
  </si>
  <si>
    <t>celebrating 5 months</t>
  </si>
  <si>
    <t>AajTak_दलाल_मोदी_का</t>
  </si>
  <si>
    <t>['2021-05-30 01:30:09']</t>
  </si>
  <si>
    <t>G</t>
  </si>
  <si>
    <t>Media, Modi</t>
  </si>
  <si>
    <t>Critique</t>
  </si>
  <si>
    <t>Godi Media</t>
  </si>
  <si>
    <t>AajTakSuppressingFarmerVoices</t>
  </si>
  <si>
    <t>['2021-06-03 01:30:17']</t>
  </si>
  <si>
    <t>Media</t>
  </si>
  <si>
    <t>Anti_Farmer_RSS</t>
  </si>
  <si>
    <t>['2021-04-07 01:54:05']</t>
  </si>
  <si>
    <t>Political organisation RSS</t>
  </si>
  <si>
    <t>RSS</t>
  </si>
  <si>
    <t>AntiFarmerModi</t>
  </si>
  <si>
    <t>['2021-06-11 03:47:48', '2021-06-11 01:30:13']</t>
  </si>
  <si>
    <t>I</t>
  </si>
  <si>
    <t>Modi</t>
  </si>
  <si>
    <t>ArdasFor1984Ghalughara</t>
  </si>
  <si>
    <t>['2021-06-06 05:41:00', '2021-06-06 01:30:07']</t>
  </si>
  <si>
    <t xml:space="preserve">Event/Announcemnt: prayer for 1984 </t>
  </si>
  <si>
    <t>BharatKaregaDelhiKooch</t>
  </si>
  <si>
    <t>['2021-01-24 17:48:58', '2021-01-24 15:55:02', '2021-01-24 01:30:13']</t>
  </si>
  <si>
    <t>announcement</t>
  </si>
  <si>
    <t>BJPGovtDictatingTwitter</t>
  </si>
  <si>
    <t>['2021-02-11 10:45:20', '2021-02-11 05:40:18', '2021-02-11 01:30:31']</t>
  </si>
  <si>
    <t>BJP</t>
  </si>
  <si>
    <t>Media: Twitter</t>
  </si>
  <si>
    <t>BoycottBJP_4Farmers</t>
  </si>
  <si>
    <t>['2021-05-02 11:56:37', '2021-03-21 01:30:05']</t>
  </si>
  <si>
    <t>Sub: boycott</t>
  </si>
  <si>
    <t>BoycottBJP4Farmers</t>
  </si>
  <si>
    <t>['2021-05-18 01:30:05']</t>
  </si>
  <si>
    <t>BurnFarmLawsOnHoli</t>
  </si>
  <si>
    <t>['2021-03-28 01:30:03']</t>
  </si>
  <si>
    <t>protest date</t>
  </si>
  <si>
    <t>Sub: farm laws</t>
  </si>
  <si>
    <t>DelhiPolice_TorturingFarmers</t>
  </si>
  <si>
    <t>['2021-04-12 11:06:16', '2021-04-12 08:25:59', '2021-04-12 05:00:48', '2021-04-12 03:24:35', '2021-04-12 01:30:03']</t>
  </si>
  <si>
    <t>Delhi Police</t>
  </si>
  <si>
    <t>group: delhi olice</t>
  </si>
  <si>
    <t>DPstopIntimidatingFarmers</t>
  </si>
  <si>
    <t>['2021-02-20 14:39:34', '2021-02-20 05:10:10', '2021-02-20 01:37:50']</t>
  </si>
  <si>
    <t>Critique/demand</t>
  </si>
  <si>
    <t>['2021-02-20 06:09:34']</t>
  </si>
  <si>
    <t>FailedModi_BlamingFarmers</t>
  </si>
  <si>
    <t>['2021-04-24 04:33:34', '2021-04-24 01:30:03']</t>
  </si>
  <si>
    <t>FarmerLivesMatter</t>
  </si>
  <si>
    <t>['2021-04-18 04:41:40', '2021-04-18 02:40:41', '2021-04-18 01:30:05']</t>
  </si>
  <si>
    <t>Farmers</t>
  </si>
  <si>
    <t>Appreciative</t>
  </si>
  <si>
    <t>Life</t>
  </si>
  <si>
    <t>M</t>
  </si>
  <si>
    <t>Farmers_vs_BikauModi</t>
  </si>
  <si>
    <t>['2021-04-09 01:30:05']</t>
  </si>
  <si>
    <t>FarmersAgainstAtrocities</t>
  </si>
  <si>
    <t>['2021-04-02 01:30:05']</t>
  </si>
  <si>
    <t>Government</t>
  </si>
  <si>
    <t>sub: atrocities</t>
  </si>
  <si>
    <t>FarmersAgitation</t>
  </si>
  <si>
    <t>['2021-01-26 17:35:02', '2021-01-25 07:16:59']</t>
  </si>
  <si>
    <t>Protest</t>
  </si>
  <si>
    <t>sub: farmers</t>
  </si>
  <si>
    <t>FarmersAreIndia</t>
  </si>
  <si>
    <t>['2021-02-05 13:07:26', '2021-02-05 01:30:15']</t>
  </si>
  <si>
    <t>FarmersBeforeVotes</t>
  </si>
  <si>
    <t>['2021-03-03 07:52:28', '2021-03-03 02:30:17']</t>
  </si>
  <si>
    <t>sub: farmers; elections</t>
  </si>
  <si>
    <t>FarmersCall_BJPboycott</t>
  </si>
  <si>
    <t>['2021-03-07 04:00:32']</t>
  </si>
  <si>
    <t>Boycott</t>
  </si>
  <si>
    <t>Demand</t>
  </si>
  <si>
    <t>FarmersCallBJPboycott</t>
  </si>
  <si>
    <t>['2021-03-06 02:30:05']</t>
  </si>
  <si>
    <t>FarmersCallPMforDebate</t>
  </si>
  <si>
    <t>['2021-02-09 14:10:13', '2021-02-09 01:30:09', '2021-02-09 01:30:09']</t>
  </si>
  <si>
    <t>Debate</t>
  </si>
  <si>
    <t>FarmersDemandJustice</t>
  </si>
  <si>
    <t>['2021-01-12 12:55:03', '2021-01-11 03:23:17', '2021-01-11 01:30:05']</t>
  </si>
  <si>
    <t>FarmersFightFascistModi</t>
  </si>
  <si>
    <t>['2021-05-23 14:00:52', '2021-05-23 13:55:22', '2021-05-23 13:32:09', '2021-05-23 01:30:15']</t>
  </si>
  <si>
    <t>FarmersProtest100Days</t>
  </si>
  <si>
    <t>['2021-03-05 03:30:03', '2021-03-05 02:30:13']</t>
  </si>
  <si>
    <t>event: 100 days</t>
  </si>
  <si>
    <t>FarmersRejectSCcommittee</t>
  </si>
  <si>
    <t>['2021-01-13 06:07:02', '2021-01-13 01:30:05']</t>
  </si>
  <si>
    <t>SC committee</t>
  </si>
  <si>
    <t>rejection of SC</t>
  </si>
  <si>
    <t>FarmersStandingFirm</t>
  </si>
  <si>
    <t>['2021-01-28 18:21:42', '2021-01-28 01:30:59']</t>
  </si>
  <si>
    <t>motivating</t>
  </si>
  <si>
    <t xml:space="preserve">conveying strength </t>
  </si>
  <si>
    <t>FarmersTractorParade</t>
  </si>
  <si>
    <t>['2021-01-26 17:35:02', '2021-01-26 16:56:39', '2021-01-26 16:44:32']</t>
  </si>
  <si>
    <t>Protest Event</t>
  </si>
  <si>
    <t>tractor parade</t>
  </si>
  <si>
    <t>FarmerSuicideModiQuiet</t>
  </si>
  <si>
    <t>['2021-01-10 11:41:32', '2021-01-10 03:56:54', '2021-01-10 01:30:04']</t>
  </si>
  <si>
    <t>S/I</t>
  </si>
  <si>
    <t>sub: suicide/Modi</t>
  </si>
  <si>
    <t>FarmersVsModiVirus</t>
  </si>
  <si>
    <t>['2021-04-21 04:14:19', '2021-04-21 01:30:02']</t>
  </si>
  <si>
    <t>satire</t>
  </si>
  <si>
    <t>FarmersWillWinModiWillLoose</t>
  </si>
  <si>
    <t>['2021-03-14 09:09:15']</t>
  </si>
  <si>
    <t>FarmerTikaitVsModiDakait</t>
  </si>
  <si>
    <t>['2021-01-29 17:32:25', '2021-01-29 11:46:07', '2021-01-29 07:45:15', '2021-01-29 07:29:29', '2021-01-29 01:30:12']</t>
  </si>
  <si>
    <t>Satire</t>
  </si>
  <si>
    <t>Modi/Tikait</t>
  </si>
  <si>
    <t>FarmLaws_DeathWarrant</t>
  </si>
  <si>
    <t>['2021-03-25 01:30:03']</t>
  </si>
  <si>
    <t>Laws</t>
  </si>
  <si>
    <t xml:space="preserve">death </t>
  </si>
  <si>
    <t>satire/critique</t>
  </si>
  <si>
    <t>FarmLaws_NextPandemic</t>
  </si>
  <si>
    <t>['2021-05-03 15:09:49', '2021-05-02 14:33:16', '2021-05-02 11:56:37', '2021-05-02 11:41:56', '2021-04-30 01:30:04']</t>
  </si>
  <si>
    <t>pandemic</t>
  </si>
  <si>
    <t>FarmLaws_ThreatToIndians</t>
  </si>
  <si>
    <t>['2021-05-28 01:30:24']</t>
  </si>
  <si>
    <t>threat</t>
  </si>
  <si>
    <t>FarmLawsAreNotReforms</t>
  </si>
  <si>
    <t>['2021-05-08 01:30:03']</t>
  </si>
  <si>
    <t>rebuttal</t>
  </si>
  <si>
    <t>FarmLawsScamWithFarmers</t>
  </si>
  <si>
    <t>['2021-05-09 01:30:03']</t>
  </si>
  <si>
    <t>FarmLawsWorstThanCOVID</t>
  </si>
  <si>
    <t>['2021-05-06 01:30:08']</t>
  </si>
  <si>
    <t>rebuttal/comparison</t>
  </si>
  <si>
    <t>FencingLikeChinaPak</t>
  </si>
  <si>
    <t>['2021-02-02 07:37:45', '2021-02-02 01:30:05']</t>
  </si>
  <si>
    <t>GiveJusticeNotDates</t>
  </si>
  <si>
    <t>['2021-01-19 05:38:37', '2021-01-19 02:14:55']</t>
  </si>
  <si>
    <t>Demands</t>
  </si>
  <si>
    <t>sub: justice</t>
  </si>
  <si>
    <t>GiveMSP_RepealLaws</t>
  </si>
  <si>
    <t>['2021-05-15 03:48:18', '2021-05-13 01:30:05']</t>
  </si>
  <si>
    <t>sub: MSP</t>
  </si>
  <si>
    <t>GodiMediaAntiFarmer</t>
  </si>
  <si>
    <t>['2021-03-09 02:30:07']</t>
  </si>
  <si>
    <t>Modi and Media</t>
  </si>
  <si>
    <t>Godi media</t>
  </si>
  <si>
    <t>IndiaBeingSilenced</t>
  </si>
  <si>
    <t>['2021-02-15 07:02:14', '2021-02-15 01:29:50']</t>
  </si>
  <si>
    <t>India</t>
  </si>
  <si>
    <t>sub: violence agisnt citizens</t>
  </si>
  <si>
    <t>Critique/reminder</t>
  </si>
  <si>
    <t>IndiaFights4FarmerRights</t>
  </si>
  <si>
    <t>['2021-03-11 04:34:15', '2021-03-11 02:30:03']</t>
  </si>
  <si>
    <t>India and Farmers</t>
  </si>
  <si>
    <t>Indians fight</t>
  </si>
  <si>
    <t>IndianFarmersHumanRights</t>
  </si>
  <si>
    <t>['2021-02-04 09:57:03', '2021-02-04 01:31:21']</t>
  </si>
  <si>
    <t>sub: human rights</t>
  </si>
  <si>
    <t>IndiaSupportChakkaJaam</t>
  </si>
  <si>
    <t>['2021-02-06 06:14:33']</t>
  </si>
  <si>
    <t>support</t>
  </si>
  <si>
    <t>IndiaSupportsChakkaJaam</t>
  </si>
  <si>
    <t>['2021-02-06 07:35:18', '2021-02-06 01:30:07']</t>
  </si>
  <si>
    <t>IndiaSupportsChakkaJam</t>
  </si>
  <si>
    <t>['2021-02-06 07:33:26', '2021-02-06 06:46:26']</t>
  </si>
  <si>
    <t>Jumla_Nahin_MSP_Do</t>
  </si>
  <si>
    <t>['2021-03-19 05:55:17', '2021-03-19 04:50:31', '2021-03-19 01:52:53']</t>
  </si>
  <si>
    <t xml:space="preserve">Satire/Demand </t>
  </si>
  <si>
    <t>Justice4NavreetKilling</t>
  </si>
  <si>
    <t>['2021-05-25 01:30:04']</t>
  </si>
  <si>
    <t>JusticeForRanjitSingh</t>
  </si>
  <si>
    <t>['2021-03-02 01:30:24']</t>
  </si>
  <si>
    <t>Kisan_Da_Haq_Ethe_Rakh</t>
  </si>
  <si>
    <t>['2021-04-08 03:13:41', '2021-04-08 01:31:50']</t>
  </si>
  <si>
    <t>sub: farmers rights</t>
  </si>
  <si>
    <t>KisanBole_NoVoteToModi</t>
  </si>
  <si>
    <t>['2021-05-03 15:09:49', '2021-05-02 14:33:16', '2021-05-02 14:26:11', '2021-05-02 11:41:56', '2021-05-02 11:39:09', '2021-04-29 03:29:45', '2021-04-29 01:30:02']</t>
  </si>
  <si>
    <t>KisanoKiMaanoDushyant</t>
  </si>
  <si>
    <t>['2021-01-18 07:44:37', '2021-01-14 05:11:18', '2021-01-14 01:32:13']</t>
  </si>
  <si>
    <t>Dushyant (SC Mediator)</t>
  </si>
  <si>
    <t>Dushyant</t>
  </si>
  <si>
    <t>KMP_हाइवे_बंद_है</t>
  </si>
  <si>
    <t>['2021-04-10 04:47:33', '2021-04-10 01:30:06']</t>
  </si>
  <si>
    <t>highway closure</t>
  </si>
  <si>
    <t>Lashkar_e_RSS</t>
  </si>
  <si>
    <t>['2021-04-03 07:09:04', '2021-04-03 03:11:28', '2021-04-03 01:35:09']</t>
  </si>
  <si>
    <t>MahapanchayatRevolution</t>
  </si>
  <si>
    <t>['2021-02-12 13:49:38', '2021-02-12 10:49:19', '2021-02-12 01:29:31']</t>
  </si>
  <si>
    <t>panchayat</t>
  </si>
  <si>
    <t>Modi_Killing_Mandis</t>
  </si>
  <si>
    <t>['2021-04-15 07:15:04', '2021-04-15 02:30:12', '2021-04-15 01:30:04']</t>
  </si>
  <si>
    <t>Modi_Nahi_Kisan_Jitega</t>
  </si>
  <si>
    <t>['2021-05-24 16:21:30', '2021-05-24 12:53:17', '2021-05-24 11:52:34', '2021-05-24 08:39:51', '2021-05-24 07:55:52', '2021-05-24 07:52:12', '2021-05-24 01:36:30']</t>
  </si>
  <si>
    <t>Modi_Sold_Farmers</t>
  </si>
  <si>
    <t>['2021-04-06 01:30:10']</t>
  </si>
  <si>
    <t xml:space="preserve">Modi </t>
  </si>
  <si>
    <t>Modi_WorstStorm4Farmers</t>
  </si>
  <si>
    <t>['2021-05-21 01:30:18']</t>
  </si>
  <si>
    <t>modi</t>
  </si>
  <si>
    <t>Critique/Satire</t>
  </si>
  <si>
    <t>ModiChokingFarmersVoice</t>
  </si>
  <si>
    <t>['2021-06-12 04:49:07', '2021-06-12 02:41:58', '2021-06-12 01:30:14']</t>
  </si>
  <si>
    <t>ModiDestroyingFarmers</t>
  </si>
  <si>
    <t>['2021-05-20 14:48:58', '2021-05-20 01:30:20']</t>
  </si>
  <si>
    <t>ModiDontSellFarmers</t>
  </si>
  <si>
    <t>['2021-02-24 14:03:24', '2021-02-24 10:06:33', '2021-02-24 01:30:12']</t>
  </si>
  <si>
    <t>ModiEgo_KillingFarmers</t>
  </si>
  <si>
    <t>['2021-03-24 01:30:03']</t>
  </si>
  <si>
    <t>ModiHarassingProFarmers</t>
  </si>
  <si>
    <t>['2021-03-10 02:30:35']</t>
  </si>
  <si>
    <t>ModiHates_Democracy</t>
  </si>
  <si>
    <t>['2021-06-15 06:32:00', '2021-06-15 01:30:06']</t>
  </si>
  <si>
    <t>ModiIgnoringFarmersDeaths</t>
  </si>
  <si>
    <t>['2021-02-22 01:30:04']</t>
  </si>
  <si>
    <t>Modi and Farmer deaths</t>
  </si>
  <si>
    <t>ModiPlanningFarmerGenocide</t>
  </si>
  <si>
    <t>['2021-01-30 17:13:51', '2021-01-30 16:24:01', '2021-01-30 01:30:30']</t>
  </si>
  <si>
    <t>ModiResignOrRepeal</t>
  </si>
  <si>
    <t>['2021-04-20 09:03:24', '2021-04-20 05:53:51', '2021-04-20 01:30:07']</t>
  </si>
  <si>
    <t>demads</t>
  </si>
  <si>
    <t>ModiStopCrying_RepealLaws</t>
  </si>
  <si>
    <t>['2021-05-23 14:00:52', '2021-05-23 13:55:22', '2021-05-22 06:43:33', '2021-05-22 01:30:10']</t>
  </si>
  <si>
    <t>demands</t>
  </si>
  <si>
    <t>ModiStopExploitingFarmers</t>
  </si>
  <si>
    <t>['2021-05-10 01:30:04']</t>
  </si>
  <si>
    <t>ModiWhereAreMissingFarmers</t>
  </si>
  <si>
    <t>['2021-01-31 11:25:14', '2021-01-31 01:30:06']</t>
  </si>
  <si>
    <t>MSP_is_Farmers_Oxygen</t>
  </si>
  <si>
    <t>['2021-04-23 05:04:47', '2021-04-23 01:30:14']</t>
  </si>
  <si>
    <t>MSP</t>
  </si>
  <si>
    <t>Sub: MSP</t>
  </si>
  <si>
    <t>Reminder/Info</t>
  </si>
  <si>
    <t>MSPLawForAllCrops</t>
  </si>
  <si>
    <t>['2021-02-21 01:29:49']</t>
  </si>
  <si>
    <t>MyFarmer_MyPride</t>
  </si>
  <si>
    <t>['2021-03-20 03:30:09', '2021-03-20 01:32:28']</t>
  </si>
  <si>
    <t>farmer</t>
  </si>
  <si>
    <t>NationalJumlaDay</t>
  </si>
  <si>
    <t>['2021-04-01 04:30:03', '2021-04-01 01:30:04']</t>
  </si>
  <si>
    <t>I/G</t>
  </si>
  <si>
    <t>NIAusedAgainstFarmers</t>
  </si>
  <si>
    <t>['2021-01-17 04:19:31', '2021-01-17 01:30:41']</t>
  </si>
  <si>
    <t>sub: NIA</t>
  </si>
  <si>
    <t>NoFarmers_NoFood</t>
  </si>
  <si>
    <t>['2021-03-17 08:52:29', '2021-03-17 02:30:07']</t>
  </si>
  <si>
    <t>farmers</t>
  </si>
  <si>
    <t>Critique/Demand</t>
  </si>
  <si>
    <t>NoVoteTo_EvilModi</t>
  </si>
  <si>
    <t>['2021-05-02 14:33:16', '2021-04-26 04:43:15', '2021-04-26 01:40:28']</t>
  </si>
  <si>
    <t>NoVoteTo_LiarModi</t>
  </si>
  <si>
    <t>['2021-03-27 03:31:25', '2021-03-27 01:30:05']</t>
  </si>
  <si>
    <t>NoVoteToBJP</t>
  </si>
  <si>
    <t>['2021-03-12 12:41:14', '2021-03-12 07:52:40', '2021-03-12 03:30:05', '2021-03-12 02:30:18']</t>
  </si>
  <si>
    <t>Pagdi_Sambhal_Jatta</t>
  </si>
  <si>
    <t>['2021-02-23 03:28:47', '2021-02-23 01:31:10', '2021-02-23 01:29:28']</t>
  </si>
  <si>
    <t>Motivating</t>
  </si>
  <si>
    <t>Jatt</t>
  </si>
  <si>
    <t>PeacefulProtestContinues</t>
  </si>
  <si>
    <t>['2021-01-27 18:05:42', '2021-01-27 01:30:13']</t>
  </si>
  <si>
    <t>PrayForFarmersVictory</t>
  </si>
  <si>
    <t>['2021-05-05 01:30:06']</t>
  </si>
  <si>
    <t xml:space="preserve">Prayy for </t>
  </si>
  <si>
    <t>RailRokoAndolan</t>
  </si>
  <si>
    <t>['2021-02-18 17:45:13', '2021-02-18 11:22:12']</t>
  </si>
  <si>
    <t>rail roko</t>
  </si>
  <si>
    <t>Demand/info</t>
  </si>
  <si>
    <t>RailRokoForFarmers</t>
  </si>
  <si>
    <t>['2021-02-18 17:45:13', '2021-02-18 11:22:12', '2021-02-18 07:37:35', '2021-02-18 01:30:24']</t>
  </si>
  <si>
    <t>RealFarmersVsActorModi</t>
  </si>
  <si>
    <t>['2021-05-15 03:48:18', '2021-05-15 01:30:04']</t>
  </si>
  <si>
    <t>ReleaseDetainedFarmers</t>
  </si>
  <si>
    <t>['2021-02-20 14:39:34', '2021-02-19 15:50:29', '2021-02-19 06:07:02', '2021-02-19 04:59:19', '2021-02-19 01:29:38', '2021-02-08 05:31:31', '2021-02-08 01:30:04']</t>
  </si>
  <si>
    <t>RememberSirChhotuRamInModiEra</t>
  </si>
  <si>
    <t>['2021-02-16 07:27:24', '2021-02-16 01:29:59']</t>
  </si>
  <si>
    <t>Chotu Ram/Modi</t>
  </si>
  <si>
    <t>RepealFarmActsToday</t>
  </si>
  <si>
    <t>['2021-01-15 10:06:42', '2021-01-15 07:07:53', '2021-01-15 04:43:34', '2021-01-15 01:30:02']</t>
  </si>
  <si>
    <t>FTPC</t>
  </si>
  <si>
    <t>RepealFarmLaws_NOW</t>
  </si>
  <si>
    <t>['2021-05-07 01:30:13']</t>
  </si>
  <si>
    <t>RepealLawsToEndProtest</t>
  </si>
  <si>
    <t>['2021-04-19 03:46:02', '2021-04-19 01:30:04']</t>
  </si>
  <si>
    <t>RepealOnlyWayAhead</t>
  </si>
  <si>
    <t>['2021-02-13 09:44:35', '2021-02-13 01:29:53']</t>
  </si>
  <si>
    <t xml:space="preserve">FTPC </t>
  </si>
  <si>
    <t>Demand/INFO</t>
  </si>
  <si>
    <t>RoarForFarmersRights</t>
  </si>
  <si>
    <t>['2021-01-16 16:38:45', '2021-01-16 09:51:57', '2021-01-16 06:27:47', '2021-01-16 01:30:07']</t>
  </si>
  <si>
    <t>Rights</t>
  </si>
  <si>
    <t>ShaheedJawan_ShaheedKisan</t>
  </si>
  <si>
    <t>['2021-04-05 01:30:38']</t>
  </si>
  <si>
    <t>sub: martyrdom</t>
  </si>
  <si>
    <t>ShameOnTohanaPolice</t>
  </si>
  <si>
    <t>['2021-06-07 01:30:15']</t>
  </si>
  <si>
    <t>Police</t>
  </si>
  <si>
    <t>sub: police</t>
  </si>
  <si>
    <t>SpeakUpForNodeep</t>
  </si>
  <si>
    <t>['2021-02-10 04:14:21', '2021-02-07 04:58:43']</t>
  </si>
  <si>
    <t>Nodeep</t>
  </si>
  <si>
    <t xml:space="preserve">Demand </t>
  </si>
  <si>
    <t>StopChinaNotFarmers</t>
  </si>
  <si>
    <t>['2021-01-22 07:11:27', '2021-01-22 04:50:59', '2021-01-22 01:45:54']</t>
  </si>
  <si>
    <t>directed at govt</t>
  </si>
  <si>
    <t>Satire/critique</t>
  </si>
  <si>
    <t>StopHateAgainstFarmers</t>
  </si>
  <si>
    <t>['2021-03-30 01:35:19']</t>
  </si>
  <si>
    <t>public</t>
  </si>
  <si>
    <t>Demand/Info</t>
  </si>
  <si>
    <t>SupportPeacefulTractorParade</t>
  </si>
  <si>
    <t>['2021-01-26 17:35:02', '2021-01-26 16:56:39', '2021-01-26 16:44:32', '2021-01-25 01:30:40']</t>
  </si>
  <si>
    <t>SuppressBillsNotJournalists</t>
  </si>
  <si>
    <t>['2021-02-01 09:53:41', '2021-02-01 01:31:38']</t>
  </si>
  <si>
    <t>journalists</t>
  </si>
  <si>
    <t>TakeBack_FarmLaws</t>
  </si>
  <si>
    <t>['2021-05-12 01:30:09']</t>
  </si>
  <si>
    <t>TomarModiKisanVirodhi</t>
  </si>
  <si>
    <t>['2021-03-01 01:30:03']</t>
  </si>
  <si>
    <t>Tomar, Modi</t>
  </si>
  <si>
    <t>TomarRepealOnlySolution</t>
  </si>
  <si>
    <t>['2021-06-10 02:40:21', '2021-06-10 01:30:06']</t>
  </si>
  <si>
    <t>Tomar</t>
  </si>
  <si>
    <t>TractorMarchDelhi</t>
  </si>
  <si>
    <t>['2021-01-08 03:33:29', '2021-01-07 18:39:33']</t>
  </si>
  <si>
    <t>tractor march</t>
  </si>
  <si>
    <t>TwitterStopHarassingFarmers</t>
  </si>
  <si>
    <t>['2021-06-13 01:31:00']</t>
  </si>
  <si>
    <t>Twitter</t>
  </si>
  <si>
    <t>Demand/Critique</t>
  </si>
  <si>
    <t>Vaccine_और_MSP_दो</t>
  </si>
  <si>
    <t>['2021-05-02 05:30:13', '2021-05-02 01:35:49']</t>
  </si>
  <si>
    <t>GOVT</t>
  </si>
  <si>
    <t>Vaisakhi_With_Farmers</t>
  </si>
  <si>
    <t>['2021-04-13 11:16:43', '2021-04-13 07:35:47', '2021-04-13 04:35:42', '2021-04-13 01:30:04']</t>
  </si>
  <si>
    <t>baisakhi</t>
  </si>
  <si>
    <t>WeSaluteWomenFarmers</t>
  </si>
  <si>
    <t>['2021-03-08 08:26:24', '2021-03-08 03:46:14', '2021-03-08 02:30:03']</t>
  </si>
  <si>
    <t>women</t>
  </si>
  <si>
    <t>wesupportfarmers</t>
  </si>
  <si>
    <t>['2021-02-20 14:39:34']</t>
  </si>
  <si>
    <t>wesupportfarmerschallenge</t>
  </si>
  <si>
    <t>WhereAreMissingFarmers</t>
  </si>
  <si>
    <t>['2021-06-02 01:30:09']</t>
  </si>
  <si>
    <t xml:space="preserve">missing farmers </t>
  </si>
  <si>
    <t>आज_आक्सीजन_कल_रोटी_जायेगी</t>
  </si>
  <si>
    <t>['2021-04-27 01:30:04']</t>
  </si>
  <si>
    <t>covid/FTPC</t>
  </si>
  <si>
    <t>आंदोलन_किसानों_की_मजबूरी</t>
  </si>
  <si>
    <t>['2021-05-11 01:30:03']</t>
  </si>
  <si>
    <t xml:space="preserve">Protest </t>
  </si>
  <si>
    <t>protest</t>
  </si>
  <si>
    <t>एकजुट_किसान_मोदी_परेशान</t>
  </si>
  <si>
    <t>['2021-05-27 05:18:53', '2021-05-27 04:15:01', '2021-05-27 03:52:17', '2021-05-27 01:30:08']</t>
  </si>
  <si>
    <t>काले_क़ानून_वापिस_लो</t>
  </si>
  <si>
    <t>['2021-03-31 07:36:19', '2021-03-31 05:10:19', '2021-03-31 03:00:15', '2021-03-31 01:30:06']</t>
  </si>
  <si>
    <t>किसान_देगा_खट्टर_को_टक्कर</t>
  </si>
  <si>
    <t>['2021-04-04 01:33:31']</t>
  </si>
  <si>
    <t>Khattar</t>
  </si>
  <si>
    <t>Haryana CM</t>
  </si>
  <si>
    <t>Satire/Info</t>
  </si>
  <si>
    <t>किसान_बहुजन_एकता_दिवस</t>
  </si>
  <si>
    <t>['2021-04-14 04:28:24', '2021-04-14 01:31:21']</t>
  </si>
  <si>
    <t>Unity day</t>
  </si>
  <si>
    <t>किसानी_जीतेगी_मोदी_हारेगा</t>
  </si>
  <si>
    <t>किसानों_का_दुश्मन_ZeeNews</t>
  </si>
  <si>
    <t>['2021-06-01 01:30:22']</t>
  </si>
  <si>
    <t>ZeeNews/Godi Nedia</t>
  </si>
  <si>
    <t>किसानों_का_मोदी_को_धोबीपटका</t>
  </si>
  <si>
    <t>['2021-05-03 15:09:49', '2021-05-03 01:30:08']</t>
  </si>
  <si>
    <t>Satire/Critique</t>
  </si>
  <si>
    <t>किसानों_की_गद्दार_मोदी_सरकार</t>
  </si>
  <si>
    <t>['2021-05-19 17:02:15', '2021-05-19 16:46:49', '2021-05-19 15:01:29', '2021-05-19 13:47:58', '2021-05-19 06:31:23', '2021-05-19 01:30:06']</t>
  </si>
  <si>
    <t>Modi govt</t>
  </si>
  <si>
    <t>किसानों_से_भारत</t>
  </si>
  <si>
    <t>['2021-05-16 03:35:53', '2021-05-16 01:30:12']</t>
  </si>
  <si>
    <t>कृषि_कानून_रद्द_करने_पड़ेंगे</t>
  </si>
  <si>
    <t>['2021-05-04 01:30:08']</t>
  </si>
  <si>
    <t>खट्टर_सरकार_गुंडा_सरकार</t>
  </si>
  <si>
    <t>['2021-05-17 11:34:38', '2021-05-17 01:30:06']</t>
  </si>
  <si>
    <t>जुमले_नहीं_कानून_वापसी</t>
  </si>
  <si>
    <t>['2021-05-14 13:23:29', '2021-05-14 04:15:32', '2021-05-14 01:30:02']</t>
  </si>
  <si>
    <t>Demand/satire</t>
  </si>
  <si>
    <t>बजट_नहीं_बिल_वापसी</t>
  </si>
  <si>
    <t>['2021-02-01 01:31:38']</t>
  </si>
  <si>
    <t>Budget/FTPC</t>
  </si>
  <si>
    <t>बजटनहींबिल_वापसी</t>
  </si>
  <si>
    <t>['2021-02-01 09:53:41']</t>
  </si>
  <si>
    <t>भाषण_नहीं_MSP_चाहिए</t>
  </si>
  <si>
    <t>['2021-06-08 01:30:36']</t>
  </si>
  <si>
    <t>मोदी_कठपुतली_अंबानी_की</t>
  </si>
  <si>
    <t>['2021-05-31 05:34:34', '2021-05-31 04:39:00', '2021-05-31 01:30:10']</t>
  </si>
  <si>
    <t>Modi and Ambani</t>
  </si>
  <si>
    <t>Ambani</t>
  </si>
  <si>
    <t>मोदी_कायर_है</t>
  </si>
  <si>
    <t>['2021-01-29 11:46:07', '2021-01-29 07:45:15']</t>
  </si>
  <si>
    <t>मोदी_खेतीकानून_वापिस_लो</t>
  </si>
  <si>
    <t>['2021-04-16 11:41:17', '2021-04-16 07:03:54', '2021-04-16 04:55:05']</t>
  </si>
  <si>
    <t>मोदी_नंग_किसान_तंग</t>
  </si>
  <si>
    <t>['2021-04-11 12:09:22', '2021-04-11 08:56:10', '2021-04-11 01:30:04']</t>
  </si>
  <si>
    <t>मोदी_बिचौलिया_अडानी_का</t>
  </si>
  <si>
    <t>['2021-05-29 01:30:04']</t>
  </si>
  <si>
    <t>Modi and Adani</t>
  </si>
  <si>
    <t>Adani</t>
  </si>
  <si>
    <t>मोदी_भाषण_रोको_आक्सीजन_नहीं</t>
  </si>
  <si>
    <t>['2021-04-22 05:30:19', '2021-04-22 01:30:04']</t>
  </si>
  <si>
    <t>Demand/SAtire</t>
  </si>
  <si>
    <t>मोदी_शैतान_भुगतें_किसान</t>
  </si>
  <si>
    <t>['2021-04-25 01:30:05']</t>
  </si>
  <si>
    <t>शहीद_जवान_शहीद_किसान</t>
  </si>
  <si>
    <t>['2021-02-14 07:01:01', '2021-02-14 01:30:21']</t>
  </si>
  <si>
    <t>Soldiers-farmers</t>
  </si>
  <si>
    <t>हर_किसान_Bhagat_Singh</t>
  </si>
  <si>
    <t>['2021-03-23 12:15:47', '2021-03-23 01:30:07']</t>
  </si>
  <si>
    <t xml:space="preserve">Bhagat Singh </t>
  </si>
  <si>
    <t>हरियाणा_का_किसान_बेमिसाल</t>
  </si>
  <si>
    <t>['2021-06-04 01:30:12']</t>
  </si>
  <si>
    <t>sub: Haryana</t>
  </si>
  <si>
    <t>होली_के_रंग_किसानों_के_संग</t>
  </si>
  <si>
    <t>['2021-03-29 01:30:06']</t>
  </si>
  <si>
    <t>Protest event</t>
  </si>
  <si>
    <t>Holi</t>
  </si>
  <si>
    <t>ਕਿਸਾਨੀ_ਜਿੱਤੂ_ਮੋਦੀ_ਹਾਰੂ</t>
  </si>
  <si>
    <t>Farmers will win, Modi will lose</t>
  </si>
  <si>
    <t>['2021-03-14 09:09:15', '2021-03-14 02:30:07']</t>
  </si>
  <si>
    <t>ਖੜਾਂਗੇ_ਅੜਾਂਗੇ_ਲੜਾਂਗੇ_ਜਿੱਤਾਂਗੇ</t>
  </si>
  <si>
    <t>Stand, Obstruct, Fight, Win</t>
  </si>
  <si>
    <t>['2021-01-29 07:45:15', '2021-01-28 18:21:42', '2021-01-28 01:30:59']</t>
  </si>
  <si>
    <t>ਜਾਂ_ਮਰਾਂਗੇ_ਜਾਂ_ਜਿੱਤਾਂਗੇ</t>
  </si>
  <si>
    <t>Either die or Win</t>
  </si>
  <si>
    <t>['2021-01-08 15:18:37', '2021-01-08 12:52:50']</t>
  </si>
  <si>
    <t>ਲੜਾਂਗੇ_ਜਿੱਤਾਂਗੇ</t>
  </si>
  <si>
    <t>Fight and Win</t>
  </si>
  <si>
    <t>['2021-04-17 04:34:42', '2021-04-17 01:30:05']</t>
  </si>
  <si>
    <t>किसानों_की_क्रांति_तख़्त_हिलाएगी</t>
  </si>
  <si>
    <t>['2021-06-30 10:51:22', '2021-06-30 10:34:08', '2021-06-30 03:01:27', '2021-06-30 02:16:44', '2021-06-30 01:30:04']</t>
  </si>
  <si>
    <t>WhyChandigarhPolice_AntiFarmer</t>
  </si>
  <si>
    <t>['2021-06-29 03:26:30', '2021-06-29 02:36:34', '2021-06-29 01:30:04']</t>
  </si>
  <si>
    <t>किसान_मजदूर_भाईचारा_जीतेगा</t>
  </si>
  <si>
    <t>['2021-06-28 01:30:06']</t>
  </si>
  <si>
    <t>7MonthsOfFarmersProtest</t>
  </si>
  <si>
    <t>['2021-06-27 07:04:58', '2021-06-27 05:12:44', '2021-06-27 03:51:52', '2021-06-27 01:30:05']</t>
  </si>
  <si>
    <t>SaveFarming_SaveDemocracy</t>
  </si>
  <si>
    <t>['2021-06-26 12:00:27', '2021-06-26 09:49:20', '2021-06-26 09:30:05', '2021-06-26 09:26:05', '2021-06-26 09:21:49', '2021-06-26 09:13:36', '2021-06-26 08:38:49', '2021-06-26 08:19:53', '2021-06-26 08:05:26', '2021-06-26 07:39:03', '2021-06-26 07:31:21', '2021-06-26 07:26:40', '2021-06-26 03:06:05', '2021-06-26 01:30:04']</t>
  </si>
  <si>
    <t>WhyModiHatesFarmers</t>
  </si>
  <si>
    <t>['2021-06-25 01:30:03']</t>
  </si>
  <si>
    <t>मोदी_की_लंका_किसान_का_डंका</t>
  </si>
  <si>
    <t>['2021-06-24 01:30:04']</t>
  </si>
  <si>
    <t>FarmersWithGoldenHutDhaba</t>
  </si>
  <si>
    <t>['2021-06-23 01:30:10']</t>
  </si>
  <si>
    <t>खेती_कानून_किसानों_की_लूट</t>
  </si>
  <si>
    <t>['2021-06-22 01:30:05']</t>
  </si>
  <si>
    <t>खट्टर_सरकार_किसानों_पर_अत्याचार</t>
  </si>
  <si>
    <t>['2021-06-21 01:30:15']</t>
  </si>
  <si>
    <t>StayStrongFarmers</t>
  </si>
  <si>
    <t>['2021-06-20 01:30:10']</t>
  </si>
  <si>
    <t>BJP_DefamingFarmers</t>
  </si>
  <si>
    <t>['2021-06-19 04:35:26', '2021-06-19 02:37:34', '2021-06-19 01:30:07']</t>
  </si>
  <si>
    <t>ModiGovt_ExploitingFarmers</t>
  </si>
  <si>
    <t>['2021-06-18 10:09:48', '2021-06-18 04:36:11', '2021-06-18 01:30:05']</t>
  </si>
  <si>
    <t>जुमला_नहीं_MSP_कानून_दो</t>
  </si>
  <si>
    <t>['2021-06-17 05:16:36', '2021-06-17 02:44:46', '2021-06-17 01:30:03']</t>
  </si>
  <si>
    <t>BJP_RSS_AgainstFarmers</t>
  </si>
  <si>
    <t>['2021-06-16 06:00:49', '2021-06-16 01:30:00']</t>
  </si>
  <si>
    <t>3MonthsOfDelhiProtest</t>
  </si>
  <si>
    <t>['2021-02-28 01:31:12']</t>
  </si>
  <si>
    <t>6MonthsOfFarmersProtest</t>
  </si>
  <si>
    <t>['2021-06-22 01:30:05', '2021-06-18 01:30:05', '2021-06-04 07:43:49', '2021-06-02 13:13:33', '2021-05-30 17:40:51', '2021-05-30 14:43:52', '2021-05-26 13:23:47', '2021-05-26 13:11:44', '2021-05-26 13:08:26', '2021-05-26 11:01:46', '2021-05-26 10:22:58', '2021-05-26 10:01:48', '2021-05-26 09:59:57', '2021-05-26 09:51:54', '2021-05-26 09:47:38', '2021-05-26 09:45:24', '2021-05-26 09:36:06', '2021-05-26 09:33:22', '2021-05-26 09:30:39', '2021-05-26 09:27:57', '2021-05-26 09:10:21', '2021-05-26 09:06:58', '2021-05-26 08:41:19', '2021-05-26 08:02:51', '2021-05-26 07:53:50', '2021-05-26 07:51:01', '2021-05-26 07:03:39', '2021-05-26 06:59:02', '2021-05-26 06:35:55', '2021-05-26 06:33:06', '2021-05-26 05:50:21', '2021-05-26 05:48:48', '2021-05-26 05:09:26', '2021-05-26 05:01:40', '2021-05-26 04:59:49', '2021-05-26 01:59:55', '2021-05-26 01:30:10']</t>
  </si>
  <si>
    <t>FarmersAboveReligiousHate</t>
  </si>
  <si>
    <t>['2021-02-10 16:57:10', '2021-02-10 07:58:56', '2021-02-10 06:36:16', '2021-02-10 04:18:04', '2021-02-10 04:14:21', '2021-02-10 04:02:38', '2021-02-10 03:53:01', '2021-02-10 01:30:01']</t>
  </si>
  <si>
    <t>FarmersAppealLawsRepeal</t>
  </si>
  <si>
    <t>['2021-01-12 01:30:06']</t>
  </si>
  <si>
    <t>FarmersFightUntilWin</t>
  </si>
  <si>
    <t>FarmersMakeIndia</t>
  </si>
  <si>
    <t>['2021-02-17 01:31:10']</t>
  </si>
  <si>
    <t>FarmersRoarInBengal</t>
  </si>
  <si>
    <t>['2021-03-16 02:30:05']</t>
  </si>
  <si>
    <t>FarmersSupportTraders</t>
  </si>
  <si>
    <t>FarmsAreNotStadiums</t>
  </si>
  <si>
    <t>['2021-02-25 01:30:05']</t>
  </si>
  <si>
    <t>HistoricTractorMarch</t>
  </si>
  <si>
    <t>JusticeForNavreet</t>
  </si>
  <si>
    <t>['2021-02-03 01:30:06']</t>
  </si>
  <si>
    <t>KisanMazdoorEktaZindabaad</t>
  </si>
  <si>
    <t>['2021-05-16 17:02:19', '2021-05-02 11:56:37', '2021-05-01 14:55:31', '2021-05-01 14:47:39', '2021-05-01 14:43:59', '2021-05-01 14:39:22', '2021-05-01 05:36:24', '2021-05-01 04:29:58', '2021-05-01 01:30:03']</t>
  </si>
  <si>
    <t>MazdoorKisanEktaDiwas</t>
  </si>
  <si>
    <t>['2021-02-27 01:30:04']</t>
  </si>
  <si>
    <t>ModiGovt4AmbaniAdani</t>
  </si>
  <si>
    <t>['2021-03-15 02:30:05']</t>
  </si>
  <si>
    <t>ModiRaidsProFarmers</t>
  </si>
  <si>
    <t>['2021-03-04 02:30:02']</t>
  </si>
  <si>
    <t>NoRepealNoGharWapsi</t>
  </si>
  <si>
    <t>['2021-01-21 01:29:55']</t>
  </si>
  <si>
    <t>PunishAntiFarmerBJP</t>
  </si>
  <si>
    <t>['2021-03-13 02:30:05']</t>
  </si>
  <si>
    <t>WomenFarmersAgainstFarmlaws</t>
  </si>
  <si>
    <t>['2021-01-18 01:30:18']</t>
  </si>
  <si>
    <t>आज_भारत_बंद_है</t>
  </si>
  <si>
    <t>['2021-03-26 04:58:24', '2021-03-26 02:30:03', '2021-03-26 01:30:04', '2021-03-26 00:30:03']</t>
  </si>
  <si>
    <t>ਨਿਸਚੈ_ਕਰਿ_ਅਪੁਨੀ_ਜੀਤ_ਕਰੋ</t>
  </si>
  <si>
    <t>['2021-01-20 01:30:22']</t>
  </si>
  <si>
    <t>['2021-07-20 01:48:07', '2021-07-20 01:30:05', '2021-05-12 01:30:09']</t>
  </si>
  <si>
    <t>किसान_का_हक_संसद_में_रख</t>
  </si>
  <si>
    <t>['2021-07-19 02:37:15', '2021-07-19 01:30:06']</t>
  </si>
  <si>
    <t>BJPPoliceAgainstFarmers</t>
  </si>
  <si>
    <t>['2021-07-18 02:11:15', '2021-07-18 02:00:38', '2021-07-18 01:40:30', '2021-07-18 01:30:15']</t>
  </si>
  <si>
    <t>मोदी_राज_किसान_बर्बाद</t>
  </si>
  <si>
    <t>['2021-07-17 02:51:13', '2021-07-17 01:30:04']</t>
  </si>
  <si>
    <t>StopSeditionAgainstFarmers</t>
  </si>
  <si>
    <t>['2021-07-16 01:30:04']</t>
  </si>
  <si>
    <t>ParliamentForFarmers</t>
  </si>
  <si>
    <t>['2021-07-15 01:30:04']</t>
  </si>
  <si>
    <t>MSP_चाहिए_काले_कानून_नहीं</t>
  </si>
  <si>
    <t>['2021-07-14 03:45:29', '2021-07-14 03:05:08', '2021-07-14 01:30:06']</t>
  </si>
  <si>
    <t>FarmersProtest_AtParliament</t>
  </si>
  <si>
    <t>['2021-07-13 04:47:12', '2021-07-13 02:44:15', '2021-07-13 01:30:05']</t>
  </si>
  <si>
    <t>ModiAgainstFarmers</t>
  </si>
  <si>
    <t>['2021-07-12 02:53:35', '2021-07-12 01:30:03']</t>
  </si>
  <si>
    <t>कृषि_कानून_रद्द_करो</t>
  </si>
  <si>
    <t>['2021-07-11 01:31:35', '2021-07-11 01:30:08']</t>
  </si>
  <si>
    <t>WhyModiFoolingFarmers</t>
  </si>
  <si>
    <t>['2021-07-10 02:30:03', '2021-07-10 01:30:05']</t>
  </si>
  <si>
    <t>मंत्री_नहीं_खेती_क़ानून_हटाओ</t>
  </si>
  <si>
    <t>['2021-07-09 01:30:05']</t>
  </si>
  <si>
    <t>पेट्रोल_डीजल_का_डकैत_मोदी</t>
  </si>
  <si>
    <t>['2021-07-08 02:30:35', '2021-07-08 01:30:05']</t>
  </si>
  <si>
    <t>KhattarCrushing_KhoriGaon</t>
  </si>
  <si>
    <t>['2021-07-07 02:28:21', '2021-07-07 02:00:19', '2021-07-07 01:56:35']</t>
  </si>
  <si>
    <t>RepealLaws_SaveFarmers</t>
  </si>
  <si>
    <t>['2021-07-06 02:36:32', '2021-07-06 01:30:05']</t>
  </si>
  <si>
    <t>किसान_संसद_कूच_करेगा</t>
  </si>
  <si>
    <t>['2021-07-05 04:27:48', '2021-07-05 01:30:08']</t>
  </si>
  <si>
    <t>जीतेगा_तो_किसान_ही</t>
  </si>
  <si>
    <t>['2021-07-04 03:53:00', '2021-07-04 01:30:52', '2021-07-04 01:30:08']</t>
  </si>
  <si>
    <t>भाजपा_किसान_की_दुश्मन</t>
  </si>
  <si>
    <t>['2021-07-03 05:33:26', '2021-07-03 02:27:24', '2021-07-03 01:30:31']</t>
  </si>
  <si>
    <t>मोदी_ही_डकैत_है</t>
  </si>
  <si>
    <t>['2021-07-02 03:31:25', '2021-07-02 02:36:30', '2021-07-02 01:30:05']</t>
  </si>
  <si>
    <t>BJPAttackedFarmers</t>
  </si>
  <si>
    <t>['2021-07-01 10:18:35', '2021-07-01 05:25:32', '2021-07-01 04:47:01', '2021-07-01 03:40:30', '2021-07-01 01:45:16', '2021-07-01 01:30:15']</t>
  </si>
  <si>
    <t>DPstoplntimidatingFarmers</t>
  </si>
  <si>
    <t>Modi and Chotu Ram</t>
  </si>
  <si>
    <t>commemorative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</si>
</sst>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mmmm"/>
  </numFmts>
  <fonts count="12"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color theme="1"/>
      <name val="Calibri"/>
    </font>
    <font>
      <b/>
      <color theme="1"/>
      <name val="Arial"/>
    </font>
    <font>
      <b/>
      <color theme="1"/>
      <name val="Calibri"/>
    </font>
    <font>
      <b/>
      <sz val="10.0"/>
      <color rgb="FF0000FF"/>
      <name val="Arial"/>
    </font>
    <font>
      <b/>
      <color rgb="FF0000FF"/>
      <name val="Calibri"/>
    </font>
    <font>
      <b/>
      <color rgb="FF0000FF"/>
      <name val="Arial"/>
    </font>
    <font>
      <color rgb="FF000000"/>
      <name val="Arial"/>
    </font>
    <font>
      <b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2" fontId="3" numFmtId="0" xfId="0" applyAlignment="1" applyFill="1" applyFont="1">
      <alignment readingOrder="0"/>
    </xf>
    <xf borderId="0" fillId="0" fontId="4" numFmtId="0" xfId="0" applyFont="1"/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0" numFmtId="16" xfId="0" applyFont="1" applyNumberFormat="1"/>
    <xf borderId="0" fillId="0" fontId="6" numFmtId="0" xfId="0" applyFont="1"/>
    <xf borderId="0" fillId="2" fontId="4" numFmtId="0" xfId="0" applyFont="1"/>
    <xf borderId="0" fillId="0" fontId="1" numFmtId="49" xfId="0" applyAlignment="1" applyFont="1" applyNumberFormat="1">
      <alignment readingOrder="0"/>
    </xf>
    <xf borderId="0" fillId="0" fontId="7" numFmtId="49" xfId="0" applyFont="1" applyNumberFormat="1"/>
    <xf borderId="0" fillId="0" fontId="7" numFmtId="0" xfId="0" applyAlignment="1" applyFont="1">
      <alignment shrinkToFit="0" wrapText="1"/>
    </xf>
    <xf borderId="0" fillId="0" fontId="7" numFmtId="0" xfId="0" applyFont="1"/>
    <xf borderId="0" fillId="2" fontId="8" numFmtId="0" xfId="0" applyFont="1"/>
    <xf borderId="0" fillId="0" fontId="8" numFmtId="0" xfId="0" applyFont="1"/>
    <xf borderId="0" fillId="3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9" numFmtId="0" xfId="0" applyAlignment="1" applyFont="1">
      <alignment readingOrder="0"/>
    </xf>
    <xf borderId="0" fillId="5" fontId="4" numFmtId="0" xfId="0" applyFill="1" applyFont="1"/>
    <xf borderId="1" fillId="6" fontId="10" numFmtId="49" xfId="0" applyAlignment="1" applyBorder="1" applyFill="1" applyFont="1" applyNumberFormat="1">
      <alignment vertical="top"/>
    </xf>
    <xf borderId="1" fillId="6" fontId="11" numFmtId="0" xfId="0" applyAlignment="1" applyBorder="1" applyFont="1">
      <alignment shrinkToFit="0" vertical="top" wrapText="1"/>
    </xf>
    <xf borderId="1" fillId="6" fontId="10" numFmtId="0" xfId="0" applyAlignment="1" applyBorder="1" applyFont="1">
      <alignment shrinkToFit="0" vertical="top" wrapText="1"/>
    </xf>
    <xf borderId="0" fillId="3" fontId="4" numFmtId="0" xfId="0" applyFont="1"/>
    <xf borderId="0" fillId="4" fontId="4" numFmtId="0" xfId="0" applyFont="1"/>
    <xf borderId="0" fillId="6" fontId="10" numFmtId="49" xfId="0" applyAlignment="1" applyFont="1" applyNumberFormat="1">
      <alignment vertical="top"/>
    </xf>
    <xf borderId="0" fillId="6" fontId="10" numFmtId="0" xfId="0" applyAlignment="1" applyFont="1">
      <alignment shrinkToFit="0" vertical="top" wrapText="1"/>
    </xf>
    <xf quotePrefix="1" borderId="0" fillId="6" fontId="3" numFmtId="49" xfId="0" applyAlignment="1" applyFont="1" applyNumberFormat="1">
      <alignment vertical="bottom"/>
    </xf>
    <xf borderId="0" fillId="6" fontId="3" numFmtId="0" xfId="0" applyAlignment="1" applyFont="1">
      <alignment shrinkToFit="0" vertical="bottom" wrapText="1"/>
    </xf>
    <xf borderId="0" fillId="6" fontId="3" numFmtId="49" xfId="0" applyAlignment="1" applyFont="1" applyNumberFormat="1">
      <alignment vertical="bottom"/>
    </xf>
    <xf borderId="2" fillId="6" fontId="3" numFmtId="0" xfId="0" applyAlignment="1" applyBorder="1" applyFont="1">
      <alignment shrinkToFit="0" vertical="bottom" wrapText="1"/>
    </xf>
    <xf borderId="0" fillId="6" fontId="3" numFmtId="0" xfId="0" applyAlignment="1" applyFont="1">
      <alignment shrinkToFit="0" vertical="bottom" wrapText="1"/>
    </xf>
    <xf borderId="0" fillId="6" fontId="3" numFmtId="164" xfId="0" applyAlignment="1" applyFont="1" applyNumberFormat="1">
      <alignment horizontal="right" shrinkToFit="0" vertical="bottom" wrapText="1"/>
    </xf>
    <xf borderId="0" fillId="6" fontId="3" numFmtId="49" xfId="0" applyAlignment="1" applyFont="1" applyNumberFormat="1">
      <alignment readingOrder="0" vertical="bottom"/>
    </xf>
    <xf borderId="0" fillId="6" fontId="3" numFmtId="164" xfId="0" applyAlignment="1" applyFont="1" applyNumberFormat="1">
      <alignment horizontal="right" shrinkToFit="0" vertical="bottom" wrapText="1"/>
    </xf>
    <xf borderId="0" fillId="6" fontId="10" numFmtId="49" xfId="0" applyAlignment="1" applyFont="1" applyNumberFormat="1">
      <alignment vertical="bottom"/>
    </xf>
    <xf borderId="0" fillId="6" fontId="3" numFmtId="49" xfId="0" applyAlignment="1" applyFont="1" applyNumberFormat="1">
      <alignment shrinkToFit="0" vertical="bottom" wrapText="0"/>
    </xf>
    <xf borderId="0" fillId="6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6" fontId="10" numFmtId="49" xfId="0" applyAlignment="1" applyFont="1" applyNumberFormat="1">
      <alignment shrinkToFit="0" vertical="top" wrapText="1"/>
    </xf>
    <xf borderId="0" fillId="6" fontId="10" numFmtId="0" xfId="0" applyAlignment="1" applyFont="1">
      <alignment vertical="top"/>
    </xf>
    <xf borderId="0" fillId="6" fontId="3" numFmtId="49" xfId="0" applyAlignment="1" applyFont="1" applyNumberFormat="1">
      <alignment vertical="bottom"/>
    </xf>
    <xf borderId="0" fillId="6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7" fontId="1" numFmtId="49" xfId="0" applyFill="1" applyFont="1" applyNumberFormat="1"/>
    <xf borderId="0" fillId="7" fontId="1" numFmtId="0" xfId="0" applyFont="1"/>
    <xf borderId="0" fillId="7" fontId="4" numFmtId="0" xfId="0" applyFont="1"/>
    <xf borderId="0" fillId="6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7" fontId="3" numFmtId="0" xfId="0" applyAlignment="1" applyFont="1">
      <alignment readingOrder="0"/>
    </xf>
    <xf borderId="0" fillId="7" fontId="0" numFmtId="16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0.86"/>
    <col customWidth="1" min="3" max="3" width="14.57"/>
    <col customWidth="1" min="4" max="4" width="63.57"/>
    <col customWidth="1" min="5" max="5" width="14.43"/>
    <col customWidth="1" min="6" max="6" width="9.43"/>
    <col customWidth="1" min="7" max="7" width="33.29"/>
    <col customWidth="1" min="8" max="8" width="21.71"/>
    <col customWidth="1" min="9" max="9" width="9.43"/>
    <col hidden="1" min="11" max="12" width="14.4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J1" s="7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10" t="s">
        <v>1</v>
      </c>
    </row>
    <row r="2" ht="15.75" customHeight="1">
      <c r="A2" s="1" t="s">
        <v>13</v>
      </c>
      <c r="B2" s="11" t="str">
        <f t="shared" ref="B2:B155" si="1">O2</f>
        <v>E</v>
      </c>
      <c r="C2" s="12"/>
      <c r="D2" s="4" t="s">
        <v>14</v>
      </c>
      <c r="E2" s="4">
        <v>27985.0</v>
      </c>
      <c r="F2" s="6" t="s">
        <v>15</v>
      </c>
      <c r="G2" s="13" t="s">
        <v>16</v>
      </c>
      <c r="H2" s="6" t="s">
        <v>17</v>
      </c>
      <c r="I2" s="8"/>
      <c r="J2" s="8" t="s">
        <v>15</v>
      </c>
      <c r="K2" s="8" t="s">
        <v>18</v>
      </c>
      <c r="L2" s="8" t="s">
        <v>19</v>
      </c>
      <c r="M2" s="6">
        <f t="shared" ref="M2:M23" si="2">if(F2=J2,1, 0)</f>
        <v>1</v>
      </c>
      <c r="O2" s="14" t="str">
        <f t="shared" ref="O2:O155" si="3">if(F2=J2,F2,N2)</f>
        <v>E</v>
      </c>
    </row>
    <row r="3" ht="15.75" customHeight="1">
      <c r="A3" s="1" t="s">
        <v>20</v>
      </c>
      <c r="B3" s="11" t="str">
        <f t="shared" si="1"/>
        <v>E</v>
      </c>
      <c r="C3" s="12"/>
      <c r="D3" s="4" t="s">
        <v>21</v>
      </c>
      <c r="E3" s="4">
        <v>6980.0</v>
      </c>
      <c r="F3" s="6" t="s">
        <v>15</v>
      </c>
      <c r="G3" s="6" t="s">
        <v>22</v>
      </c>
      <c r="H3" s="6" t="s">
        <v>17</v>
      </c>
      <c r="J3" s="8" t="s">
        <v>15</v>
      </c>
      <c r="K3" s="8" t="s">
        <v>23</v>
      </c>
      <c r="L3" s="8" t="s">
        <v>24</v>
      </c>
      <c r="M3" s="6">
        <f t="shared" si="2"/>
        <v>1</v>
      </c>
      <c r="O3" s="14" t="str">
        <f t="shared" si="3"/>
        <v>E</v>
      </c>
    </row>
    <row r="4" ht="15.75" customHeight="1">
      <c r="A4" s="1" t="s">
        <v>25</v>
      </c>
      <c r="B4" s="11" t="str">
        <f t="shared" si="1"/>
        <v>E</v>
      </c>
      <c r="C4" s="12"/>
      <c r="D4" s="4" t="s">
        <v>26</v>
      </c>
      <c r="E4" s="4">
        <v>9285.0</v>
      </c>
      <c r="F4" s="6" t="s">
        <v>15</v>
      </c>
      <c r="G4" s="6" t="s">
        <v>22</v>
      </c>
      <c r="H4" s="6" t="s">
        <v>17</v>
      </c>
      <c r="J4" s="8" t="s">
        <v>15</v>
      </c>
      <c r="K4" s="8" t="s">
        <v>27</v>
      </c>
      <c r="L4" s="8" t="s">
        <v>28</v>
      </c>
      <c r="M4" s="6">
        <f t="shared" si="2"/>
        <v>1</v>
      </c>
      <c r="O4" s="14" t="str">
        <f t="shared" si="3"/>
        <v>E</v>
      </c>
    </row>
    <row r="5" ht="15.75" customHeight="1">
      <c r="A5" s="1" t="s">
        <v>29</v>
      </c>
      <c r="B5" s="11" t="str">
        <f t="shared" si="1"/>
        <v>E</v>
      </c>
      <c r="C5" s="12"/>
      <c r="D5" s="4" t="s">
        <v>30</v>
      </c>
      <c r="E5" s="4">
        <v>15369.0</v>
      </c>
      <c r="F5" s="6" t="s">
        <v>15</v>
      </c>
      <c r="G5" s="6" t="s">
        <v>16</v>
      </c>
      <c r="H5" s="6" t="s">
        <v>31</v>
      </c>
      <c r="I5" s="8" t="s">
        <v>32</v>
      </c>
      <c r="J5" s="8" t="s">
        <v>15</v>
      </c>
      <c r="K5" s="8" t="s">
        <v>33</v>
      </c>
      <c r="L5" s="8" t="s">
        <v>19</v>
      </c>
      <c r="M5" s="6">
        <f t="shared" si="2"/>
        <v>1</v>
      </c>
      <c r="N5" s="8" t="s">
        <v>15</v>
      </c>
      <c r="O5" s="14" t="str">
        <f t="shared" si="3"/>
        <v>E</v>
      </c>
    </row>
    <row r="6" ht="15.75" customHeight="1">
      <c r="A6" s="1" t="s">
        <v>34</v>
      </c>
      <c r="B6" s="11" t="str">
        <f t="shared" si="1"/>
        <v>E</v>
      </c>
      <c r="C6" s="12"/>
      <c r="D6" s="4" t="s">
        <v>35</v>
      </c>
      <c r="E6" s="4">
        <v>35133.0</v>
      </c>
      <c r="F6" s="6" t="s">
        <v>15</v>
      </c>
      <c r="G6" s="6" t="s">
        <v>36</v>
      </c>
      <c r="H6" s="6" t="s">
        <v>31</v>
      </c>
      <c r="J6" s="8" t="s">
        <v>15</v>
      </c>
      <c r="K6" s="8" t="s">
        <v>37</v>
      </c>
      <c r="L6" s="8" t="s">
        <v>19</v>
      </c>
      <c r="M6" s="6">
        <f t="shared" si="2"/>
        <v>1</v>
      </c>
      <c r="O6" s="14" t="str">
        <f t="shared" si="3"/>
        <v>E</v>
      </c>
    </row>
    <row r="7" ht="15.75" customHeight="1">
      <c r="A7" s="1" t="s">
        <v>38</v>
      </c>
      <c r="B7" s="11" t="str">
        <f t="shared" si="1"/>
        <v>E</v>
      </c>
      <c r="C7" s="12"/>
      <c r="D7" s="4" t="s">
        <v>39</v>
      </c>
      <c r="E7" s="4">
        <v>15797.0</v>
      </c>
      <c r="F7" s="5" t="s">
        <v>15</v>
      </c>
      <c r="G7" s="6" t="s">
        <v>40</v>
      </c>
      <c r="H7" s="6" t="s">
        <v>31</v>
      </c>
      <c r="J7" s="7" t="s">
        <v>41</v>
      </c>
      <c r="K7" s="8" t="s">
        <v>42</v>
      </c>
      <c r="L7" s="8" t="s">
        <v>43</v>
      </c>
      <c r="M7" s="6">
        <f t="shared" si="2"/>
        <v>0</v>
      </c>
      <c r="N7" s="9" t="s">
        <v>15</v>
      </c>
      <c r="O7" s="14" t="str">
        <f t="shared" si="3"/>
        <v>E</v>
      </c>
    </row>
    <row r="8" ht="15.75" customHeight="1">
      <c r="A8" s="1" t="s">
        <v>44</v>
      </c>
      <c r="B8" s="11" t="str">
        <f t="shared" si="1"/>
        <v>E</v>
      </c>
      <c r="C8" s="12"/>
      <c r="D8" s="4" t="s">
        <v>45</v>
      </c>
      <c r="E8" s="4">
        <v>13731.0</v>
      </c>
      <c r="F8" s="15" t="s">
        <v>15</v>
      </c>
      <c r="G8" s="6" t="s">
        <v>40</v>
      </c>
      <c r="H8" s="6" t="s">
        <v>31</v>
      </c>
      <c r="J8" s="7" t="s">
        <v>41</v>
      </c>
      <c r="K8" s="8" t="s">
        <v>42</v>
      </c>
      <c r="L8" s="8" t="s">
        <v>43</v>
      </c>
      <c r="M8" s="6">
        <f t="shared" si="2"/>
        <v>0</v>
      </c>
      <c r="N8" s="9" t="s">
        <v>15</v>
      </c>
      <c r="O8" s="14" t="str">
        <f t="shared" si="3"/>
        <v>E</v>
      </c>
    </row>
    <row r="9" ht="15.75" customHeight="1">
      <c r="A9" s="1" t="s">
        <v>46</v>
      </c>
      <c r="B9" s="11" t="str">
        <f t="shared" si="1"/>
        <v>E</v>
      </c>
      <c r="C9" s="12"/>
      <c r="D9" s="4" t="s">
        <v>47</v>
      </c>
      <c r="E9" s="4">
        <v>11780.0</v>
      </c>
      <c r="F9" s="6" t="s">
        <v>15</v>
      </c>
      <c r="G9" s="6" t="s">
        <v>22</v>
      </c>
      <c r="H9" s="6" t="s">
        <v>17</v>
      </c>
      <c r="J9" s="8" t="s">
        <v>15</v>
      </c>
      <c r="K9" s="8" t="s">
        <v>48</v>
      </c>
      <c r="L9" s="8" t="s">
        <v>28</v>
      </c>
      <c r="M9" s="6">
        <f t="shared" si="2"/>
        <v>1</v>
      </c>
      <c r="O9" s="14" t="str">
        <f t="shared" si="3"/>
        <v>E</v>
      </c>
    </row>
    <row r="10" ht="15.75" customHeight="1">
      <c r="A10" s="1" t="s">
        <v>49</v>
      </c>
      <c r="B10" s="11" t="str">
        <f t="shared" si="1"/>
        <v>G</v>
      </c>
      <c r="C10" s="12"/>
      <c r="D10" s="4" t="s">
        <v>50</v>
      </c>
      <c r="E10" s="4">
        <v>27863.0</v>
      </c>
      <c r="F10" s="8" t="s">
        <v>51</v>
      </c>
      <c r="G10" s="8" t="s">
        <v>52</v>
      </c>
      <c r="H10" s="6" t="s">
        <v>53</v>
      </c>
      <c r="J10" s="8" t="s">
        <v>51</v>
      </c>
      <c r="K10" s="8" t="s">
        <v>54</v>
      </c>
      <c r="L10" s="8" t="s">
        <v>53</v>
      </c>
      <c r="M10" s="6">
        <f t="shared" si="2"/>
        <v>1</v>
      </c>
      <c r="O10" s="14" t="str">
        <f t="shared" si="3"/>
        <v>G</v>
      </c>
    </row>
    <row r="11" ht="15.75" customHeight="1">
      <c r="A11" s="1" t="s">
        <v>55</v>
      </c>
      <c r="B11" s="11" t="str">
        <f t="shared" si="1"/>
        <v>G</v>
      </c>
      <c r="C11" s="12"/>
      <c r="D11" s="4" t="s">
        <v>56</v>
      </c>
      <c r="E11" s="4">
        <v>9053.0</v>
      </c>
      <c r="F11" s="6" t="s">
        <v>51</v>
      </c>
      <c r="G11" s="6" t="s">
        <v>57</v>
      </c>
      <c r="H11" s="6" t="s">
        <v>53</v>
      </c>
      <c r="J11" s="8" t="s">
        <v>51</v>
      </c>
      <c r="K11" s="8" t="s">
        <v>54</v>
      </c>
      <c r="L11" s="8" t="s">
        <v>53</v>
      </c>
      <c r="M11" s="6">
        <f t="shared" si="2"/>
        <v>1</v>
      </c>
      <c r="O11" s="14" t="str">
        <f t="shared" si="3"/>
        <v>G</v>
      </c>
    </row>
    <row r="12" ht="15.75" customHeight="1">
      <c r="A12" s="1" t="s">
        <v>58</v>
      </c>
      <c r="B12" s="11" t="str">
        <f t="shared" si="1"/>
        <v>G</v>
      </c>
      <c r="C12" s="12"/>
      <c r="D12" s="4" t="s">
        <v>59</v>
      </c>
      <c r="E12" s="4">
        <v>12380.0</v>
      </c>
      <c r="F12" s="6" t="s">
        <v>51</v>
      </c>
      <c r="G12" s="6" t="s">
        <v>60</v>
      </c>
      <c r="H12" s="6" t="s">
        <v>53</v>
      </c>
      <c r="J12" s="8" t="s">
        <v>51</v>
      </c>
      <c r="K12" s="8" t="s">
        <v>61</v>
      </c>
      <c r="L12" s="8" t="s">
        <v>53</v>
      </c>
      <c r="M12" s="6">
        <f t="shared" si="2"/>
        <v>1</v>
      </c>
      <c r="O12" s="14" t="str">
        <f t="shared" si="3"/>
        <v>G</v>
      </c>
    </row>
    <row r="13" ht="15.75" customHeight="1">
      <c r="A13" s="1" t="s">
        <v>62</v>
      </c>
      <c r="B13" s="11" t="str">
        <f t="shared" si="1"/>
        <v>I</v>
      </c>
      <c r="C13" s="12"/>
      <c r="D13" s="4" t="s">
        <v>63</v>
      </c>
      <c r="E13" s="4">
        <v>24997.0</v>
      </c>
      <c r="F13" s="6" t="s">
        <v>64</v>
      </c>
      <c r="G13" s="6" t="s">
        <v>65</v>
      </c>
      <c r="H13" s="6" t="s">
        <v>53</v>
      </c>
      <c r="J13" s="8" t="s">
        <v>64</v>
      </c>
      <c r="K13" s="8" t="s">
        <v>65</v>
      </c>
      <c r="L13" s="8" t="s">
        <v>53</v>
      </c>
      <c r="M13" s="6">
        <f t="shared" si="2"/>
        <v>1</v>
      </c>
      <c r="O13" s="14" t="str">
        <f t="shared" si="3"/>
        <v>I</v>
      </c>
    </row>
    <row r="14" ht="15.75" customHeight="1">
      <c r="A14" s="1" t="s">
        <v>66</v>
      </c>
      <c r="B14" s="11" t="str">
        <f t="shared" si="1"/>
        <v>E</v>
      </c>
      <c r="C14" s="12"/>
      <c r="D14" s="4" t="s">
        <v>67</v>
      </c>
      <c r="E14" s="4">
        <v>6011.0</v>
      </c>
      <c r="F14" s="6" t="s">
        <v>15</v>
      </c>
      <c r="G14" s="6">
        <v>1984.0</v>
      </c>
      <c r="H14" s="6" t="s">
        <v>17</v>
      </c>
      <c r="J14" s="8" t="s">
        <v>15</v>
      </c>
      <c r="K14" s="8" t="s">
        <v>68</v>
      </c>
      <c r="L14" s="8" t="s">
        <v>28</v>
      </c>
      <c r="M14" s="6">
        <f t="shared" si="2"/>
        <v>1</v>
      </c>
      <c r="O14" s="14" t="str">
        <f t="shared" si="3"/>
        <v>E</v>
      </c>
    </row>
    <row r="15" ht="15.75" customHeight="1">
      <c r="A15" s="1" t="s">
        <v>69</v>
      </c>
      <c r="B15" s="11" t="str">
        <f t="shared" si="1"/>
        <v>E</v>
      </c>
      <c r="C15" s="12"/>
      <c r="D15" s="4" t="s">
        <v>70</v>
      </c>
      <c r="E15" s="4">
        <v>25784.0</v>
      </c>
      <c r="F15" s="6" t="s">
        <v>15</v>
      </c>
      <c r="G15" s="6" t="s">
        <v>36</v>
      </c>
      <c r="H15" s="6" t="s">
        <v>31</v>
      </c>
      <c r="J15" s="8" t="s">
        <v>15</v>
      </c>
      <c r="K15" s="8" t="s">
        <v>71</v>
      </c>
      <c r="L15" s="8" t="s">
        <v>43</v>
      </c>
      <c r="M15" s="6">
        <f t="shared" si="2"/>
        <v>1</v>
      </c>
      <c r="O15" s="14" t="str">
        <f t="shared" si="3"/>
        <v>E</v>
      </c>
    </row>
    <row r="16" ht="15.75" customHeight="1">
      <c r="A16" s="1" t="s">
        <v>72</v>
      </c>
      <c r="B16" s="11" t="str">
        <f t="shared" si="1"/>
        <v>G</v>
      </c>
      <c r="C16" s="12"/>
      <c r="D16" s="4" t="s">
        <v>73</v>
      </c>
      <c r="E16" s="4">
        <v>30303.0</v>
      </c>
      <c r="F16" s="6" t="s">
        <v>51</v>
      </c>
      <c r="G16" s="6" t="s">
        <v>74</v>
      </c>
      <c r="H16" s="6" t="s">
        <v>53</v>
      </c>
      <c r="J16" s="8" t="s">
        <v>51</v>
      </c>
      <c r="K16" s="8" t="s">
        <v>75</v>
      </c>
      <c r="L16" s="8" t="s">
        <v>53</v>
      </c>
      <c r="M16" s="6">
        <f t="shared" si="2"/>
        <v>1</v>
      </c>
      <c r="O16" s="14" t="str">
        <f t="shared" si="3"/>
        <v>G</v>
      </c>
    </row>
    <row r="17" ht="15.75" customHeight="1">
      <c r="A17" s="1" t="s">
        <v>76</v>
      </c>
      <c r="B17" s="11" t="str">
        <f t="shared" si="1"/>
        <v>G</v>
      </c>
      <c r="C17" s="12"/>
      <c r="D17" s="4" t="s">
        <v>77</v>
      </c>
      <c r="E17" s="4">
        <v>16559.0</v>
      </c>
      <c r="F17" s="15" t="s">
        <v>51</v>
      </c>
      <c r="G17" s="6" t="s">
        <v>74</v>
      </c>
      <c r="H17" s="6" t="s">
        <v>53</v>
      </c>
      <c r="J17" s="7" t="s">
        <v>41</v>
      </c>
      <c r="K17" s="8" t="s">
        <v>78</v>
      </c>
      <c r="L17" s="8" t="s">
        <v>43</v>
      </c>
      <c r="M17" s="6">
        <f t="shared" si="2"/>
        <v>0</v>
      </c>
      <c r="N17" s="9" t="s">
        <v>51</v>
      </c>
      <c r="O17" s="14" t="str">
        <f t="shared" si="3"/>
        <v>G</v>
      </c>
    </row>
    <row r="18" ht="15.75" customHeight="1">
      <c r="A18" s="1" t="s">
        <v>79</v>
      </c>
      <c r="B18" s="11" t="str">
        <f t="shared" si="1"/>
        <v>G</v>
      </c>
      <c r="C18" s="12"/>
      <c r="D18" s="4" t="s">
        <v>80</v>
      </c>
      <c r="E18" s="4">
        <v>132.0</v>
      </c>
      <c r="F18" s="15" t="s">
        <v>51</v>
      </c>
      <c r="G18" s="6" t="s">
        <v>74</v>
      </c>
      <c r="H18" s="6" t="s">
        <v>53</v>
      </c>
      <c r="J18" s="7" t="s">
        <v>41</v>
      </c>
      <c r="K18" s="8" t="s">
        <v>78</v>
      </c>
      <c r="L18" s="8" t="s">
        <v>43</v>
      </c>
      <c r="M18" s="6">
        <f t="shared" si="2"/>
        <v>0</v>
      </c>
      <c r="N18" s="9" t="s">
        <v>51</v>
      </c>
      <c r="O18" s="14" t="str">
        <f t="shared" si="3"/>
        <v>G</v>
      </c>
    </row>
    <row r="19" ht="15.75" customHeight="1">
      <c r="A19" s="1" t="s">
        <v>81</v>
      </c>
      <c r="B19" s="11" t="str">
        <f t="shared" si="1"/>
        <v>E</v>
      </c>
      <c r="C19" s="12"/>
      <c r="D19" s="4" t="s">
        <v>82</v>
      </c>
      <c r="E19" s="4">
        <v>10383.0</v>
      </c>
      <c r="F19" s="15" t="s">
        <v>15</v>
      </c>
      <c r="G19" s="6" t="s">
        <v>83</v>
      </c>
      <c r="H19" s="6" t="s">
        <v>53</v>
      </c>
      <c r="J19" s="7" t="s">
        <v>41</v>
      </c>
      <c r="K19" s="8" t="s">
        <v>84</v>
      </c>
      <c r="L19" s="8" t="s">
        <v>43</v>
      </c>
      <c r="M19" s="6">
        <f t="shared" si="2"/>
        <v>0</v>
      </c>
      <c r="N19" s="9" t="s">
        <v>15</v>
      </c>
      <c r="O19" s="14" t="str">
        <f t="shared" si="3"/>
        <v>E</v>
      </c>
    </row>
    <row r="20" ht="15.75" customHeight="1">
      <c r="A20" s="1" t="s">
        <v>85</v>
      </c>
      <c r="B20" s="11" t="str">
        <f t="shared" si="1"/>
        <v>G</v>
      </c>
      <c r="C20" s="12"/>
      <c r="D20" s="4" t="s">
        <v>86</v>
      </c>
      <c r="E20" s="4">
        <v>12255.0</v>
      </c>
      <c r="F20" s="6" t="s">
        <v>51</v>
      </c>
      <c r="G20" s="6" t="s">
        <v>87</v>
      </c>
      <c r="H20" s="6" t="s">
        <v>53</v>
      </c>
      <c r="J20" s="8" t="s">
        <v>51</v>
      </c>
      <c r="K20" s="8" t="s">
        <v>88</v>
      </c>
      <c r="L20" s="8" t="s">
        <v>53</v>
      </c>
      <c r="M20" s="6">
        <f t="shared" si="2"/>
        <v>1</v>
      </c>
      <c r="O20" s="14" t="str">
        <f t="shared" si="3"/>
        <v>G</v>
      </c>
    </row>
    <row r="21" ht="15.75" customHeight="1">
      <c r="A21" s="1" t="s">
        <v>89</v>
      </c>
      <c r="B21" s="11" t="str">
        <f t="shared" si="1"/>
        <v>G</v>
      </c>
      <c r="C21" s="12"/>
      <c r="D21" s="4" t="s">
        <v>90</v>
      </c>
      <c r="E21" s="4">
        <v>17404.0</v>
      </c>
      <c r="F21" s="6" t="s">
        <v>51</v>
      </c>
      <c r="G21" s="6" t="s">
        <v>87</v>
      </c>
      <c r="H21" s="6" t="s">
        <v>53</v>
      </c>
      <c r="J21" s="8" t="s">
        <v>51</v>
      </c>
      <c r="K21" s="8" t="s">
        <v>88</v>
      </c>
      <c r="L21" s="8" t="s">
        <v>91</v>
      </c>
      <c r="M21" s="6">
        <f t="shared" si="2"/>
        <v>1</v>
      </c>
      <c r="O21" s="14" t="str">
        <f t="shared" si="3"/>
        <v>G</v>
      </c>
    </row>
    <row r="22" ht="15.75" customHeight="1">
      <c r="A22" s="16" t="s">
        <v>89</v>
      </c>
      <c r="B22" s="11" t="str">
        <f t="shared" si="1"/>
        <v>G</v>
      </c>
      <c r="C22" s="12"/>
      <c r="D22" s="4" t="s">
        <v>92</v>
      </c>
      <c r="E22" s="4">
        <v>867.0</v>
      </c>
      <c r="F22" s="6" t="s">
        <v>51</v>
      </c>
      <c r="G22" s="6" t="s">
        <v>87</v>
      </c>
      <c r="H22" s="6" t="s">
        <v>53</v>
      </c>
      <c r="J22" s="8" t="s">
        <v>51</v>
      </c>
      <c r="K22" s="8" t="s">
        <v>88</v>
      </c>
      <c r="L22" s="8" t="s">
        <v>91</v>
      </c>
      <c r="M22" s="6">
        <f t="shared" si="2"/>
        <v>1</v>
      </c>
      <c r="O22" s="14" t="str">
        <f t="shared" si="3"/>
        <v>G</v>
      </c>
    </row>
    <row r="23" ht="15.75" customHeight="1">
      <c r="A23" s="1" t="s">
        <v>93</v>
      </c>
      <c r="B23" s="11" t="str">
        <f t="shared" si="1"/>
        <v>I</v>
      </c>
      <c r="C23" s="12"/>
      <c r="D23" s="4" t="s">
        <v>94</v>
      </c>
      <c r="E23" s="4">
        <v>13202.0</v>
      </c>
      <c r="F23" s="8" t="s">
        <v>64</v>
      </c>
      <c r="G23" s="6" t="s">
        <v>65</v>
      </c>
      <c r="H23" s="6" t="s">
        <v>53</v>
      </c>
      <c r="J23" s="8" t="s">
        <v>64</v>
      </c>
      <c r="K23" s="8" t="s">
        <v>65</v>
      </c>
      <c r="L23" s="8" t="s">
        <v>53</v>
      </c>
      <c r="M23" s="6">
        <f t="shared" si="2"/>
        <v>1</v>
      </c>
      <c r="O23" s="14" t="str">
        <f t="shared" si="3"/>
        <v>I</v>
      </c>
    </row>
    <row r="24" ht="15.75" customHeight="1">
      <c r="A24" s="1" t="s">
        <v>95</v>
      </c>
      <c r="B24" s="11" t="str">
        <f t="shared" si="1"/>
        <v>M</v>
      </c>
      <c r="C24" s="12"/>
      <c r="D24" s="4" t="s">
        <v>96</v>
      </c>
      <c r="E24" s="4">
        <v>36243.0</v>
      </c>
      <c r="F24" s="15" t="s">
        <v>51</v>
      </c>
      <c r="G24" s="6" t="s">
        <v>97</v>
      </c>
      <c r="H24" s="6" t="s">
        <v>98</v>
      </c>
      <c r="J24" s="7" t="s">
        <v>41</v>
      </c>
      <c r="K24" s="8" t="s">
        <v>99</v>
      </c>
      <c r="L24" s="8" t="s">
        <v>28</v>
      </c>
      <c r="M24" s="9">
        <v>0.0</v>
      </c>
      <c r="N24" s="8" t="s">
        <v>100</v>
      </c>
      <c r="O24" s="14" t="str">
        <f t="shared" si="3"/>
        <v>M</v>
      </c>
    </row>
    <row r="25" ht="15.75" customHeight="1">
      <c r="A25" s="1" t="s">
        <v>101</v>
      </c>
      <c r="B25" s="11" t="str">
        <f t="shared" si="1"/>
        <v>I</v>
      </c>
      <c r="C25" s="12"/>
      <c r="D25" s="4" t="s">
        <v>102</v>
      </c>
      <c r="E25" s="4">
        <v>13413.0</v>
      </c>
      <c r="F25" s="6" t="s">
        <v>64</v>
      </c>
      <c r="G25" s="6" t="s">
        <v>65</v>
      </c>
      <c r="H25" s="6" t="s">
        <v>53</v>
      </c>
      <c r="J25" s="8" t="s">
        <v>64</v>
      </c>
      <c r="K25" s="8" t="s">
        <v>65</v>
      </c>
      <c r="L25" s="8" t="s">
        <v>43</v>
      </c>
      <c r="M25" s="6">
        <f t="shared" ref="M25:M35" si="4">if(F25=J25,1, 0)</f>
        <v>1</v>
      </c>
      <c r="O25" s="14" t="str">
        <f t="shared" si="3"/>
        <v>I</v>
      </c>
    </row>
    <row r="26" ht="15.75" customHeight="1">
      <c r="A26" s="1" t="s">
        <v>103</v>
      </c>
      <c r="B26" s="11" t="str">
        <f t="shared" si="1"/>
        <v>G</v>
      </c>
      <c r="C26" s="12"/>
      <c r="D26" s="4" t="s">
        <v>104</v>
      </c>
      <c r="E26" s="4">
        <v>11387.0</v>
      </c>
      <c r="F26" s="15" t="s">
        <v>51</v>
      </c>
      <c r="G26" s="8" t="s">
        <v>105</v>
      </c>
      <c r="H26" s="8" t="s">
        <v>53</v>
      </c>
      <c r="J26" s="7" t="s">
        <v>41</v>
      </c>
      <c r="K26" s="8" t="s">
        <v>106</v>
      </c>
      <c r="L26" s="8" t="s">
        <v>43</v>
      </c>
      <c r="M26" s="6">
        <f t="shared" si="4"/>
        <v>0</v>
      </c>
      <c r="N26" s="9" t="s">
        <v>51</v>
      </c>
      <c r="O26" s="14" t="str">
        <f t="shared" si="3"/>
        <v>G</v>
      </c>
    </row>
    <row r="27" ht="15.75" customHeight="1">
      <c r="A27" s="1" t="s">
        <v>107</v>
      </c>
      <c r="B27" s="11" t="str">
        <f t="shared" si="1"/>
        <v>M</v>
      </c>
      <c r="C27" s="12"/>
      <c r="D27" s="4" t="s">
        <v>108</v>
      </c>
      <c r="E27" s="4">
        <v>26525.0</v>
      </c>
      <c r="F27" s="15" t="s">
        <v>15</v>
      </c>
      <c r="G27" s="6" t="s">
        <v>109</v>
      </c>
      <c r="H27" s="6" t="s">
        <v>31</v>
      </c>
      <c r="J27" s="7" t="s">
        <v>41</v>
      </c>
      <c r="K27" s="8" t="s">
        <v>110</v>
      </c>
      <c r="L27" s="8" t="s">
        <v>19</v>
      </c>
      <c r="M27" s="6">
        <f t="shared" si="4"/>
        <v>0</v>
      </c>
      <c r="N27" s="9" t="s">
        <v>100</v>
      </c>
      <c r="O27" s="14" t="str">
        <f t="shared" si="3"/>
        <v>M</v>
      </c>
    </row>
    <row r="28" ht="15.75" customHeight="1">
      <c r="A28" s="1" t="s">
        <v>111</v>
      </c>
      <c r="B28" s="11" t="str">
        <f t="shared" si="1"/>
        <v>M</v>
      </c>
      <c r="C28" s="12"/>
      <c r="D28" s="4" t="s">
        <v>112</v>
      </c>
      <c r="E28" s="4">
        <v>145822.0</v>
      </c>
      <c r="F28" s="15" t="s">
        <v>51</v>
      </c>
      <c r="G28" s="6" t="s">
        <v>97</v>
      </c>
      <c r="H28" s="6" t="s">
        <v>98</v>
      </c>
      <c r="J28" s="7" t="s">
        <v>41</v>
      </c>
      <c r="K28" s="8" t="s">
        <v>110</v>
      </c>
      <c r="L28" s="8" t="s">
        <v>28</v>
      </c>
      <c r="M28" s="6">
        <f t="shared" si="4"/>
        <v>0</v>
      </c>
      <c r="N28" s="9" t="s">
        <v>100</v>
      </c>
      <c r="O28" s="14" t="str">
        <f t="shared" si="3"/>
        <v>M</v>
      </c>
    </row>
    <row r="29" ht="15.75" customHeight="1">
      <c r="A29" s="1" t="s">
        <v>113</v>
      </c>
      <c r="B29" s="11" t="str">
        <f t="shared" si="1"/>
        <v>M</v>
      </c>
      <c r="C29" s="12"/>
      <c r="D29" s="4" t="s">
        <v>114</v>
      </c>
      <c r="E29" s="4">
        <v>12905.0</v>
      </c>
      <c r="F29" s="15" t="s">
        <v>51</v>
      </c>
      <c r="G29" s="8" t="s">
        <v>105</v>
      </c>
      <c r="H29" s="8" t="s">
        <v>53</v>
      </c>
      <c r="J29" s="7" t="s">
        <v>41</v>
      </c>
      <c r="K29" s="8" t="s">
        <v>115</v>
      </c>
      <c r="L29" s="8" t="s">
        <v>53</v>
      </c>
      <c r="M29" s="6">
        <f t="shared" si="4"/>
        <v>0</v>
      </c>
      <c r="N29" s="9" t="s">
        <v>100</v>
      </c>
      <c r="O29" s="14" t="str">
        <f t="shared" si="3"/>
        <v>M</v>
      </c>
    </row>
    <row r="30" ht="15.75" customHeight="1">
      <c r="A30" s="1" t="s">
        <v>116</v>
      </c>
      <c r="B30" s="11" t="str">
        <f t="shared" si="1"/>
        <v>G</v>
      </c>
      <c r="C30" s="12"/>
      <c r="D30" s="4" t="s">
        <v>117</v>
      </c>
      <c r="E30" s="4">
        <v>12293.0</v>
      </c>
      <c r="F30" s="15" t="s">
        <v>51</v>
      </c>
      <c r="G30" s="6" t="s">
        <v>74</v>
      </c>
      <c r="H30" s="6" t="s">
        <v>53</v>
      </c>
      <c r="J30" s="7" t="s">
        <v>41</v>
      </c>
      <c r="K30" s="8" t="s">
        <v>118</v>
      </c>
      <c r="L30" s="8" t="s">
        <v>119</v>
      </c>
      <c r="M30" s="6">
        <f t="shared" si="4"/>
        <v>0</v>
      </c>
      <c r="N30" s="9" t="s">
        <v>51</v>
      </c>
      <c r="O30" s="14" t="str">
        <f t="shared" si="3"/>
        <v>G</v>
      </c>
    </row>
    <row r="31" ht="15.75" customHeight="1">
      <c r="A31" s="1" t="s">
        <v>120</v>
      </c>
      <c r="B31" s="11" t="str">
        <f t="shared" si="1"/>
        <v>G</v>
      </c>
      <c r="C31" s="12"/>
      <c r="D31" s="4" t="s">
        <v>121</v>
      </c>
      <c r="E31" s="4">
        <v>26794.0</v>
      </c>
      <c r="F31" s="15" t="s">
        <v>51</v>
      </c>
      <c r="G31" s="6" t="s">
        <v>74</v>
      </c>
      <c r="H31" s="6" t="s">
        <v>53</v>
      </c>
      <c r="J31" s="7" t="s">
        <v>41</v>
      </c>
      <c r="K31" s="8" t="s">
        <v>118</v>
      </c>
      <c r="L31" s="8" t="s">
        <v>119</v>
      </c>
      <c r="M31" s="6">
        <f t="shared" si="4"/>
        <v>0</v>
      </c>
      <c r="N31" s="9" t="s">
        <v>51</v>
      </c>
      <c r="O31" s="14" t="str">
        <f t="shared" si="3"/>
        <v>G</v>
      </c>
    </row>
    <row r="32" ht="15.75" customHeight="1">
      <c r="A32" s="1" t="s">
        <v>122</v>
      </c>
      <c r="B32" s="11" t="str">
        <f t="shared" si="1"/>
        <v>I</v>
      </c>
      <c r="C32" s="12"/>
      <c r="D32" s="4" t="s">
        <v>123</v>
      </c>
      <c r="E32" s="4">
        <v>36870.0</v>
      </c>
      <c r="F32" s="15" t="s">
        <v>64</v>
      </c>
      <c r="G32" s="6" t="s">
        <v>65</v>
      </c>
      <c r="H32" s="6" t="s">
        <v>53</v>
      </c>
      <c r="J32" s="7" t="s">
        <v>41</v>
      </c>
      <c r="K32" s="8" t="s">
        <v>124</v>
      </c>
      <c r="L32" s="8" t="s">
        <v>119</v>
      </c>
      <c r="M32" s="6">
        <f t="shared" si="4"/>
        <v>0</v>
      </c>
      <c r="N32" s="9" t="s">
        <v>64</v>
      </c>
      <c r="O32" s="14" t="str">
        <f t="shared" si="3"/>
        <v>I</v>
      </c>
    </row>
    <row r="33" ht="15.75" customHeight="1">
      <c r="A33" s="1" t="s">
        <v>125</v>
      </c>
      <c r="B33" s="11" t="str">
        <f t="shared" si="1"/>
        <v>M</v>
      </c>
      <c r="C33" s="12"/>
      <c r="D33" s="4" t="s">
        <v>126</v>
      </c>
      <c r="E33" s="4">
        <v>40055.0</v>
      </c>
      <c r="F33" s="15" t="s">
        <v>51</v>
      </c>
      <c r="G33" s="6" t="s">
        <v>97</v>
      </c>
      <c r="H33" s="8" t="s">
        <v>53</v>
      </c>
      <c r="J33" s="7" t="s">
        <v>41</v>
      </c>
      <c r="K33" s="8" t="s">
        <v>119</v>
      </c>
      <c r="L33" s="8" t="s">
        <v>119</v>
      </c>
      <c r="M33" s="6">
        <f t="shared" si="4"/>
        <v>0</v>
      </c>
      <c r="N33" s="9" t="s">
        <v>100</v>
      </c>
      <c r="O33" s="14" t="str">
        <f t="shared" si="3"/>
        <v>M</v>
      </c>
    </row>
    <row r="34" ht="15.75" customHeight="1">
      <c r="A34" s="1" t="s">
        <v>127</v>
      </c>
      <c r="B34" s="11" t="str">
        <f t="shared" si="1"/>
        <v>I</v>
      </c>
      <c r="C34" s="12"/>
      <c r="D34" s="4" t="s">
        <v>128</v>
      </c>
      <c r="E34" s="4">
        <v>14581.0</v>
      </c>
      <c r="F34" s="6" t="s">
        <v>64</v>
      </c>
      <c r="G34" s="6" t="s">
        <v>65</v>
      </c>
      <c r="H34" s="6" t="s">
        <v>53</v>
      </c>
      <c r="J34" s="8" t="s">
        <v>64</v>
      </c>
      <c r="K34" s="8" t="s">
        <v>65</v>
      </c>
      <c r="L34" s="8" t="s">
        <v>53</v>
      </c>
      <c r="M34" s="6">
        <f t="shared" si="4"/>
        <v>1</v>
      </c>
      <c r="O34" s="14" t="str">
        <f t="shared" si="3"/>
        <v>I</v>
      </c>
    </row>
    <row r="35" ht="15.75" customHeight="1">
      <c r="A35" s="1" t="s">
        <v>129</v>
      </c>
      <c r="B35" s="11" t="str">
        <f t="shared" si="1"/>
        <v>E</v>
      </c>
      <c r="C35" s="12"/>
      <c r="D35" s="4" t="s">
        <v>130</v>
      </c>
      <c r="E35" s="4">
        <v>28063.0</v>
      </c>
      <c r="F35" s="6" t="s">
        <v>15</v>
      </c>
      <c r="G35" s="6" t="s">
        <v>22</v>
      </c>
      <c r="H35" s="6" t="s">
        <v>17</v>
      </c>
      <c r="J35" s="8" t="s">
        <v>15</v>
      </c>
      <c r="K35" s="8" t="s">
        <v>131</v>
      </c>
      <c r="L35" s="8" t="s">
        <v>28</v>
      </c>
      <c r="M35" s="6">
        <f t="shared" si="4"/>
        <v>1</v>
      </c>
      <c r="O35" s="14" t="str">
        <f t="shared" si="3"/>
        <v>E</v>
      </c>
    </row>
    <row r="36" ht="15.75" customHeight="1">
      <c r="A36" s="1" t="s">
        <v>132</v>
      </c>
      <c r="B36" s="11" t="str">
        <f t="shared" si="1"/>
        <v>G</v>
      </c>
      <c r="C36" s="12"/>
      <c r="D36" s="4" t="s">
        <v>133</v>
      </c>
      <c r="E36" s="4">
        <v>33756.0</v>
      </c>
      <c r="F36" s="15" t="s">
        <v>51</v>
      </c>
      <c r="G36" s="8" t="s">
        <v>134</v>
      </c>
      <c r="H36" s="6" t="s">
        <v>53</v>
      </c>
      <c r="J36" s="7" t="s">
        <v>41</v>
      </c>
      <c r="K36" s="8" t="s">
        <v>135</v>
      </c>
      <c r="L36" s="8" t="s">
        <v>43</v>
      </c>
      <c r="M36" s="8">
        <v>0.0</v>
      </c>
      <c r="N36" s="9" t="s">
        <v>51</v>
      </c>
      <c r="O36" s="14" t="str">
        <f t="shared" si="3"/>
        <v>G</v>
      </c>
    </row>
    <row r="37" ht="15.75" customHeight="1">
      <c r="A37" s="1" t="s">
        <v>136</v>
      </c>
      <c r="B37" s="11" t="str">
        <f t="shared" si="1"/>
        <v>M</v>
      </c>
      <c r="C37" s="12"/>
      <c r="D37" s="4" t="s">
        <v>137</v>
      </c>
      <c r="E37" s="4">
        <v>57362.0</v>
      </c>
      <c r="F37" s="15" t="s">
        <v>51</v>
      </c>
      <c r="G37" s="6" t="s">
        <v>97</v>
      </c>
      <c r="H37" s="8" t="s">
        <v>138</v>
      </c>
      <c r="J37" s="7" t="s">
        <v>41</v>
      </c>
      <c r="K37" s="8" t="s">
        <v>139</v>
      </c>
      <c r="L37" s="8" t="s">
        <v>28</v>
      </c>
      <c r="M37" s="6">
        <f t="shared" ref="M37:M155" si="5">if(F37=J37,1, 0)</f>
        <v>0</v>
      </c>
      <c r="N37" s="9" t="s">
        <v>100</v>
      </c>
      <c r="O37" s="14" t="str">
        <f t="shared" si="3"/>
        <v>M</v>
      </c>
    </row>
    <row r="38" ht="15.75" customHeight="1">
      <c r="A38" s="1" t="s">
        <v>140</v>
      </c>
      <c r="B38" s="11" t="str">
        <f t="shared" si="1"/>
        <v>E</v>
      </c>
      <c r="C38" s="12"/>
      <c r="D38" s="4" t="s">
        <v>141</v>
      </c>
      <c r="E38" s="4">
        <v>810.0</v>
      </c>
      <c r="F38" s="6" t="s">
        <v>15</v>
      </c>
      <c r="G38" s="6" t="s">
        <v>142</v>
      </c>
      <c r="H38" s="6" t="s">
        <v>31</v>
      </c>
      <c r="J38" s="8" t="s">
        <v>15</v>
      </c>
      <c r="K38" s="8" t="s">
        <v>143</v>
      </c>
      <c r="L38" s="8" t="s">
        <v>19</v>
      </c>
      <c r="M38" s="6">
        <f t="shared" si="5"/>
        <v>1</v>
      </c>
      <c r="O38" s="14" t="str">
        <f t="shared" si="3"/>
        <v>E</v>
      </c>
    </row>
    <row r="39" ht="15.75" customHeight="1">
      <c r="A39" s="1" t="s">
        <v>144</v>
      </c>
      <c r="B39" s="11" t="str">
        <f t="shared" si="1"/>
        <v>I</v>
      </c>
      <c r="C39" s="12"/>
      <c r="D39" s="4" t="s">
        <v>145</v>
      </c>
      <c r="E39" s="4">
        <v>42522.0</v>
      </c>
      <c r="F39" s="6" t="s">
        <v>64</v>
      </c>
      <c r="G39" s="6" t="s">
        <v>65</v>
      </c>
      <c r="H39" s="6" t="s">
        <v>53</v>
      </c>
      <c r="I39" s="8" t="s">
        <v>146</v>
      </c>
      <c r="J39" s="8" t="s">
        <v>64</v>
      </c>
      <c r="K39" s="8" t="s">
        <v>147</v>
      </c>
      <c r="L39" s="8" t="s">
        <v>53</v>
      </c>
      <c r="M39" s="6">
        <f t="shared" si="5"/>
        <v>1</v>
      </c>
      <c r="O39" s="14" t="str">
        <f t="shared" si="3"/>
        <v>I</v>
      </c>
    </row>
    <row r="40" ht="15.75" customHeight="1">
      <c r="A40" s="1" t="s">
        <v>148</v>
      </c>
      <c r="B40" s="11" t="str">
        <f t="shared" si="1"/>
        <v>I</v>
      </c>
      <c r="C40" s="12"/>
      <c r="D40" s="4" t="s">
        <v>149</v>
      </c>
      <c r="E40" s="4">
        <v>18214.0</v>
      </c>
      <c r="F40" s="6" t="s">
        <v>64</v>
      </c>
      <c r="G40" s="6" t="s">
        <v>65</v>
      </c>
      <c r="H40" s="6" t="s">
        <v>53</v>
      </c>
      <c r="J40" s="8" t="s">
        <v>64</v>
      </c>
      <c r="K40" s="8" t="s">
        <v>65</v>
      </c>
      <c r="L40" s="8" t="s">
        <v>150</v>
      </c>
      <c r="M40" s="6">
        <f t="shared" si="5"/>
        <v>1</v>
      </c>
      <c r="O40" s="14" t="str">
        <f t="shared" si="3"/>
        <v>I</v>
      </c>
    </row>
    <row r="41" ht="15.75" customHeight="1">
      <c r="A41" s="1" t="s">
        <v>151</v>
      </c>
      <c r="B41" s="11" t="str">
        <f t="shared" si="1"/>
        <v>I</v>
      </c>
      <c r="C41" s="12"/>
      <c r="D41" s="4" t="s">
        <v>152</v>
      </c>
      <c r="E41" s="4">
        <v>381.0</v>
      </c>
      <c r="F41" s="6" t="s">
        <v>64</v>
      </c>
      <c r="G41" s="6" t="s">
        <v>65</v>
      </c>
      <c r="H41" s="6" t="s">
        <v>53</v>
      </c>
      <c r="J41" s="8" t="s">
        <v>64</v>
      </c>
      <c r="K41" s="8" t="s">
        <v>65</v>
      </c>
      <c r="L41" s="8" t="s">
        <v>28</v>
      </c>
      <c r="M41" s="6">
        <f t="shared" si="5"/>
        <v>1</v>
      </c>
      <c r="O41" s="14" t="str">
        <f t="shared" si="3"/>
        <v>I</v>
      </c>
    </row>
    <row r="42" ht="15.75" customHeight="1">
      <c r="A42" s="1" t="s">
        <v>153</v>
      </c>
      <c r="B42" s="11" t="str">
        <f t="shared" si="1"/>
        <v>I</v>
      </c>
      <c r="C42" s="12"/>
      <c r="D42" s="4" t="s">
        <v>154</v>
      </c>
      <c r="E42" s="4">
        <v>59956.0</v>
      </c>
      <c r="F42" s="6" t="s">
        <v>64</v>
      </c>
      <c r="G42" s="6" t="s">
        <v>65</v>
      </c>
      <c r="H42" s="6" t="s">
        <v>53</v>
      </c>
      <c r="I42" s="6" t="s">
        <v>155</v>
      </c>
      <c r="J42" s="8" t="s">
        <v>64</v>
      </c>
      <c r="K42" s="8" t="s">
        <v>156</v>
      </c>
      <c r="L42" s="8" t="s">
        <v>150</v>
      </c>
      <c r="M42" s="6">
        <f t="shared" si="5"/>
        <v>1</v>
      </c>
      <c r="O42" s="14" t="str">
        <f t="shared" si="3"/>
        <v>I</v>
      </c>
    </row>
    <row r="43" ht="15.75" customHeight="1">
      <c r="A43" s="1" t="s">
        <v>157</v>
      </c>
      <c r="B43" s="11" t="str">
        <f t="shared" si="1"/>
        <v>S</v>
      </c>
      <c r="C43" s="12"/>
      <c r="D43" s="4" t="s">
        <v>158</v>
      </c>
      <c r="E43" s="4">
        <v>17216.0</v>
      </c>
      <c r="F43" s="6" t="s">
        <v>41</v>
      </c>
      <c r="G43" s="6" t="s">
        <v>159</v>
      </c>
      <c r="H43" s="6" t="s">
        <v>53</v>
      </c>
      <c r="J43" s="8" t="s">
        <v>41</v>
      </c>
      <c r="K43" s="8" t="s">
        <v>160</v>
      </c>
      <c r="L43" s="8" t="s">
        <v>161</v>
      </c>
      <c r="M43" s="6">
        <f t="shared" si="5"/>
        <v>1</v>
      </c>
      <c r="O43" s="14" t="str">
        <f t="shared" si="3"/>
        <v>S</v>
      </c>
    </row>
    <row r="44" ht="15.75" customHeight="1">
      <c r="A44" s="1" t="s">
        <v>162</v>
      </c>
      <c r="B44" s="11" t="str">
        <f t="shared" si="1"/>
        <v>S</v>
      </c>
      <c r="C44" s="12"/>
      <c r="D44" s="4" t="s">
        <v>163</v>
      </c>
      <c r="E44" s="4">
        <v>12392.0</v>
      </c>
      <c r="F44" s="6" t="s">
        <v>41</v>
      </c>
      <c r="G44" s="6" t="s">
        <v>159</v>
      </c>
      <c r="H44" s="6" t="s">
        <v>53</v>
      </c>
      <c r="J44" s="8" t="s">
        <v>41</v>
      </c>
      <c r="K44" s="8" t="s">
        <v>164</v>
      </c>
      <c r="L44" s="8" t="s">
        <v>161</v>
      </c>
      <c r="M44" s="6">
        <f t="shared" si="5"/>
        <v>1</v>
      </c>
      <c r="O44" s="14" t="str">
        <f t="shared" si="3"/>
        <v>S</v>
      </c>
    </row>
    <row r="45" ht="15.75" customHeight="1">
      <c r="A45" s="1" t="s">
        <v>165</v>
      </c>
      <c r="B45" s="11" t="str">
        <f t="shared" si="1"/>
        <v>S</v>
      </c>
      <c r="C45" s="12"/>
      <c r="D45" s="4" t="s">
        <v>166</v>
      </c>
      <c r="E45" s="4">
        <v>11164.0</v>
      </c>
      <c r="F45" s="6" t="s">
        <v>41</v>
      </c>
      <c r="G45" s="6" t="s">
        <v>159</v>
      </c>
      <c r="H45" s="6" t="s">
        <v>53</v>
      </c>
      <c r="J45" s="8" t="s">
        <v>41</v>
      </c>
      <c r="K45" s="8" t="s">
        <v>167</v>
      </c>
      <c r="L45" s="8" t="s">
        <v>53</v>
      </c>
      <c r="M45" s="6">
        <f t="shared" si="5"/>
        <v>1</v>
      </c>
      <c r="O45" s="14" t="str">
        <f t="shared" si="3"/>
        <v>S</v>
      </c>
    </row>
    <row r="46" ht="15.75" customHeight="1">
      <c r="A46" s="1" t="s">
        <v>168</v>
      </c>
      <c r="B46" s="11" t="str">
        <f t="shared" si="1"/>
        <v>S</v>
      </c>
      <c r="C46" s="12"/>
      <c r="D46" s="4" t="s">
        <v>169</v>
      </c>
      <c r="E46" s="4">
        <v>9563.0</v>
      </c>
      <c r="F46" s="6" t="s">
        <v>41</v>
      </c>
      <c r="G46" s="6" t="s">
        <v>159</v>
      </c>
      <c r="H46" s="6" t="s">
        <v>53</v>
      </c>
      <c r="J46" s="8" t="s">
        <v>41</v>
      </c>
      <c r="K46" s="8" t="s">
        <v>170</v>
      </c>
      <c r="L46" s="8" t="s">
        <v>53</v>
      </c>
      <c r="M46" s="6">
        <f t="shared" si="5"/>
        <v>1</v>
      </c>
      <c r="O46" s="14" t="str">
        <f t="shared" si="3"/>
        <v>S</v>
      </c>
    </row>
    <row r="47" ht="15.75" customHeight="1">
      <c r="A47" s="1" t="s">
        <v>171</v>
      </c>
      <c r="B47" s="11" t="str">
        <f t="shared" si="1"/>
        <v>S</v>
      </c>
      <c r="C47" s="12"/>
      <c r="D47" s="4" t="s">
        <v>172</v>
      </c>
      <c r="E47" s="4">
        <v>9697.0</v>
      </c>
      <c r="F47" s="6" t="s">
        <v>41</v>
      </c>
      <c r="G47" s="6" t="s">
        <v>159</v>
      </c>
      <c r="H47" s="6" t="s">
        <v>53</v>
      </c>
      <c r="J47" s="8" t="s">
        <v>41</v>
      </c>
      <c r="K47" s="8" t="s">
        <v>170</v>
      </c>
      <c r="L47" s="8" t="s">
        <v>53</v>
      </c>
      <c r="M47" s="6">
        <f t="shared" si="5"/>
        <v>1</v>
      </c>
      <c r="O47" s="14" t="str">
        <f t="shared" si="3"/>
        <v>S</v>
      </c>
    </row>
    <row r="48" ht="15.75" customHeight="1">
      <c r="A48" s="1" t="s">
        <v>173</v>
      </c>
      <c r="B48" s="11" t="str">
        <f t="shared" si="1"/>
        <v>S</v>
      </c>
      <c r="C48" s="12"/>
      <c r="D48" s="4" t="s">
        <v>174</v>
      </c>
      <c r="E48" s="4">
        <v>11165.0</v>
      </c>
      <c r="F48" s="6" t="s">
        <v>41</v>
      </c>
      <c r="G48" s="6" t="s">
        <v>159</v>
      </c>
      <c r="H48" s="6" t="s">
        <v>53</v>
      </c>
      <c r="J48" s="8" t="s">
        <v>41</v>
      </c>
      <c r="K48" s="8" t="s">
        <v>175</v>
      </c>
      <c r="L48" s="8" t="s">
        <v>53</v>
      </c>
      <c r="M48" s="6">
        <f t="shared" si="5"/>
        <v>1</v>
      </c>
      <c r="O48" s="14" t="str">
        <f t="shared" si="3"/>
        <v>S</v>
      </c>
    </row>
    <row r="49" ht="15.75" customHeight="1">
      <c r="A49" s="17" t="s">
        <v>176</v>
      </c>
      <c r="B49" s="11" t="str">
        <f t="shared" si="1"/>
        <v>G</v>
      </c>
      <c r="C49" s="18"/>
      <c r="D49" s="19" t="s">
        <v>177</v>
      </c>
      <c r="E49" s="19">
        <v>88730.0</v>
      </c>
      <c r="F49" s="20" t="s">
        <v>51</v>
      </c>
      <c r="G49" s="21" t="s">
        <v>105</v>
      </c>
      <c r="H49" s="21" t="s">
        <v>53</v>
      </c>
      <c r="I49" s="21"/>
      <c r="J49" s="22" t="s">
        <v>41</v>
      </c>
      <c r="K49" s="21"/>
      <c r="L49" s="23" t="s">
        <v>161</v>
      </c>
      <c r="M49" s="21">
        <f t="shared" si="5"/>
        <v>0</v>
      </c>
      <c r="N49" s="24" t="s">
        <v>51</v>
      </c>
      <c r="O49" s="14" t="str">
        <f t="shared" si="3"/>
        <v>G</v>
      </c>
    </row>
    <row r="50" ht="15.75" customHeight="1">
      <c r="A50" s="1" t="s">
        <v>178</v>
      </c>
      <c r="B50" s="11" t="str">
        <f t="shared" si="1"/>
        <v>G</v>
      </c>
      <c r="C50" s="12"/>
      <c r="D50" s="4" t="s">
        <v>179</v>
      </c>
      <c r="E50" s="4">
        <v>23604.0</v>
      </c>
      <c r="F50" s="15" t="s">
        <v>51</v>
      </c>
      <c r="G50" s="6" t="s">
        <v>105</v>
      </c>
      <c r="H50" s="6" t="s">
        <v>180</v>
      </c>
      <c r="J50" s="7" t="s">
        <v>41</v>
      </c>
      <c r="K50" s="8" t="s">
        <v>181</v>
      </c>
      <c r="L50" s="8" t="s">
        <v>119</v>
      </c>
      <c r="M50" s="6">
        <f t="shared" si="5"/>
        <v>0</v>
      </c>
      <c r="N50" s="9" t="s">
        <v>51</v>
      </c>
      <c r="O50" s="14" t="str">
        <f t="shared" si="3"/>
        <v>G</v>
      </c>
    </row>
    <row r="51" ht="15.75" customHeight="1">
      <c r="A51" s="1" t="s">
        <v>182</v>
      </c>
      <c r="B51" s="11" t="str">
        <f t="shared" si="1"/>
        <v>S</v>
      </c>
      <c r="C51" s="12"/>
      <c r="D51" s="4" t="s">
        <v>183</v>
      </c>
      <c r="E51" s="4">
        <v>10713.0</v>
      </c>
      <c r="F51" s="15" t="s">
        <v>51</v>
      </c>
      <c r="G51" s="6" t="s">
        <v>105</v>
      </c>
      <c r="H51" s="6" t="s">
        <v>180</v>
      </c>
      <c r="J51" s="7" t="s">
        <v>41</v>
      </c>
      <c r="K51" s="8" t="s">
        <v>184</v>
      </c>
      <c r="L51" s="8" t="s">
        <v>119</v>
      </c>
      <c r="M51" s="6">
        <f t="shared" si="5"/>
        <v>0</v>
      </c>
      <c r="N51" s="9" t="s">
        <v>41</v>
      </c>
      <c r="O51" s="14" t="str">
        <f t="shared" si="3"/>
        <v>S</v>
      </c>
    </row>
    <row r="52" ht="15.75" customHeight="1">
      <c r="A52" s="1" t="s">
        <v>185</v>
      </c>
      <c r="B52" s="11" t="str">
        <f t="shared" si="1"/>
        <v>G</v>
      </c>
      <c r="C52" s="12"/>
      <c r="D52" s="4" t="s">
        <v>186</v>
      </c>
      <c r="E52" s="4">
        <v>18890.0</v>
      </c>
      <c r="F52" s="6" t="s">
        <v>51</v>
      </c>
      <c r="G52" s="6" t="s">
        <v>187</v>
      </c>
      <c r="H52" s="6" t="s">
        <v>53</v>
      </c>
      <c r="J52" s="8" t="s">
        <v>51</v>
      </c>
      <c r="K52" s="8" t="s">
        <v>188</v>
      </c>
      <c r="L52" s="8" t="s">
        <v>53</v>
      </c>
      <c r="M52" s="6">
        <f t="shared" si="5"/>
        <v>1</v>
      </c>
      <c r="O52" s="14" t="str">
        <f t="shared" si="3"/>
        <v>G</v>
      </c>
    </row>
    <row r="53" ht="15.75" customHeight="1">
      <c r="A53" s="1" t="s">
        <v>189</v>
      </c>
      <c r="B53" s="11" t="str">
        <f t="shared" si="1"/>
        <v>M</v>
      </c>
      <c r="C53" s="12"/>
      <c r="D53" s="4" t="s">
        <v>190</v>
      </c>
      <c r="E53" s="4">
        <v>31647.0</v>
      </c>
      <c r="F53" s="15" t="s">
        <v>51</v>
      </c>
      <c r="G53" s="6" t="s">
        <v>191</v>
      </c>
      <c r="J53" s="7" t="s">
        <v>41</v>
      </c>
      <c r="K53" s="8" t="s">
        <v>192</v>
      </c>
      <c r="L53" s="8" t="s">
        <v>193</v>
      </c>
      <c r="M53" s="6">
        <f t="shared" si="5"/>
        <v>0</v>
      </c>
      <c r="N53" s="9" t="s">
        <v>100</v>
      </c>
      <c r="O53" s="14" t="str">
        <f t="shared" si="3"/>
        <v>M</v>
      </c>
    </row>
    <row r="54" ht="15.75" customHeight="1">
      <c r="A54" s="1" t="s">
        <v>194</v>
      </c>
      <c r="B54" s="11" t="str">
        <f t="shared" si="1"/>
        <v>M</v>
      </c>
      <c r="C54" s="12"/>
      <c r="D54" s="4" t="s">
        <v>195</v>
      </c>
      <c r="E54" s="4">
        <v>13626.0</v>
      </c>
      <c r="F54" s="15" t="s">
        <v>51</v>
      </c>
      <c r="G54" s="6" t="s">
        <v>196</v>
      </c>
      <c r="J54" s="7" t="s">
        <v>41</v>
      </c>
      <c r="K54" s="8" t="s">
        <v>197</v>
      </c>
      <c r="L54" s="8" t="s">
        <v>28</v>
      </c>
      <c r="M54" s="6">
        <f t="shared" si="5"/>
        <v>0</v>
      </c>
      <c r="N54" s="9" t="s">
        <v>100</v>
      </c>
      <c r="O54" s="14" t="str">
        <f t="shared" si="3"/>
        <v>M</v>
      </c>
    </row>
    <row r="55" ht="15.75" customHeight="1">
      <c r="A55" s="1" t="s">
        <v>198</v>
      </c>
      <c r="B55" s="11" t="str">
        <f t="shared" si="1"/>
        <v>M</v>
      </c>
      <c r="C55" s="12"/>
      <c r="D55" s="4" t="s">
        <v>199</v>
      </c>
      <c r="E55" s="4">
        <v>170576.0</v>
      </c>
      <c r="F55" s="15" t="s">
        <v>51</v>
      </c>
      <c r="G55" s="6" t="s">
        <v>196</v>
      </c>
      <c r="J55" s="7" t="s">
        <v>41</v>
      </c>
      <c r="K55" s="8" t="s">
        <v>200</v>
      </c>
      <c r="L55" s="8" t="s">
        <v>28</v>
      </c>
      <c r="M55" s="6">
        <f t="shared" si="5"/>
        <v>0</v>
      </c>
      <c r="N55" s="9" t="s">
        <v>100</v>
      </c>
      <c r="O55" s="14" t="str">
        <f t="shared" si="3"/>
        <v>M</v>
      </c>
    </row>
    <row r="56" ht="15.75" customHeight="1">
      <c r="A56" s="1" t="s">
        <v>201</v>
      </c>
      <c r="B56" s="11" t="str">
        <f t="shared" si="1"/>
        <v>E</v>
      </c>
      <c r="C56" s="12"/>
      <c r="D56" s="4" t="s">
        <v>202</v>
      </c>
      <c r="E56" s="4">
        <v>1405.0</v>
      </c>
      <c r="F56" s="15" t="s">
        <v>15</v>
      </c>
      <c r="G56" s="6" t="s">
        <v>142</v>
      </c>
      <c r="H56" s="8" t="s">
        <v>31</v>
      </c>
      <c r="J56" s="7" t="s">
        <v>41</v>
      </c>
      <c r="K56" s="8" t="s">
        <v>203</v>
      </c>
      <c r="L56" s="8" t="s">
        <v>28</v>
      </c>
      <c r="M56" s="6">
        <f t="shared" si="5"/>
        <v>0</v>
      </c>
      <c r="N56" s="9" t="s">
        <v>15</v>
      </c>
      <c r="O56" s="14" t="str">
        <f t="shared" si="3"/>
        <v>E</v>
      </c>
    </row>
    <row r="57" ht="15.75" customHeight="1">
      <c r="A57" s="1" t="s">
        <v>204</v>
      </c>
      <c r="B57" s="11" t="str">
        <f t="shared" si="1"/>
        <v>E</v>
      </c>
      <c r="C57" s="12"/>
      <c r="D57" s="4" t="s">
        <v>205</v>
      </c>
      <c r="E57" s="4">
        <v>57074.0</v>
      </c>
      <c r="F57" s="15" t="s">
        <v>15</v>
      </c>
      <c r="G57" s="6" t="s">
        <v>142</v>
      </c>
      <c r="H57" s="8" t="s">
        <v>31</v>
      </c>
      <c r="J57" s="7" t="s">
        <v>41</v>
      </c>
      <c r="K57" s="8" t="s">
        <v>203</v>
      </c>
      <c r="L57" s="8" t="s">
        <v>28</v>
      </c>
      <c r="M57" s="6">
        <f t="shared" si="5"/>
        <v>0</v>
      </c>
      <c r="N57" s="9" t="s">
        <v>15</v>
      </c>
      <c r="O57" s="14" t="str">
        <f t="shared" si="3"/>
        <v>E</v>
      </c>
    </row>
    <row r="58" ht="15.75" customHeight="1">
      <c r="A58" s="1" t="s">
        <v>206</v>
      </c>
      <c r="B58" s="11" t="str">
        <f t="shared" si="1"/>
        <v>E</v>
      </c>
      <c r="C58" s="12"/>
      <c r="D58" s="4" t="s">
        <v>207</v>
      </c>
      <c r="E58" s="4">
        <v>1208.0</v>
      </c>
      <c r="F58" s="15" t="s">
        <v>15</v>
      </c>
      <c r="G58" s="6" t="s">
        <v>142</v>
      </c>
      <c r="H58" s="8" t="s">
        <v>31</v>
      </c>
      <c r="J58" s="7" t="s">
        <v>41</v>
      </c>
      <c r="K58" s="8" t="s">
        <v>203</v>
      </c>
      <c r="L58" s="8" t="s">
        <v>28</v>
      </c>
      <c r="M58" s="6">
        <f t="shared" si="5"/>
        <v>0</v>
      </c>
      <c r="N58" s="9" t="s">
        <v>15</v>
      </c>
      <c r="O58" s="14" t="str">
        <f t="shared" si="3"/>
        <v>E</v>
      </c>
    </row>
    <row r="59" ht="15.75" customHeight="1">
      <c r="A59" s="17" t="s">
        <v>208</v>
      </c>
      <c r="B59" s="11" t="str">
        <f t="shared" si="1"/>
        <v>G</v>
      </c>
      <c r="C59" s="18"/>
      <c r="D59" s="19" t="s">
        <v>209</v>
      </c>
      <c r="E59" s="19">
        <v>18268.0</v>
      </c>
      <c r="F59" s="20" t="s">
        <v>51</v>
      </c>
      <c r="G59" s="21" t="s">
        <v>105</v>
      </c>
      <c r="H59" s="21" t="s">
        <v>180</v>
      </c>
      <c r="I59" s="21"/>
      <c r="J59" s="22" t="s">
        <v>41</v>
      </c>
      <c r="K59" s="23" t="s">
        <v>184</v>
      </c>
      <c r="L59" s="23" t="s">
        <v>210</v>
      </c>
      <c r="M59" s="21">
        <f t="shared" si="5"/>
        <v>0</v>
      </c>
      <c r="N59" s="24" t="s">
        <v>51</v>
      </c>
      <c r="O59" s="14" t="str">
        <f t="shared" si="3"/>
        <v>G</v>
      </c>
    </row>
    <row r="60" ht="15.75" customHeight="1">
      <c r="A60" s="1" t="s">
        <v>211</v>
      </c>
      <c r="B60" s="11" t="str">
        <f t="shared" si="1"/>
        <v>S</v>
      </c>
      <c r="C60" s="12"/>
      <c r="D60" s="4" t="s">
        <v>212</v>
      </c>
      <c r="E60" s="4">
        <v>8640.0</v>
      </c>
      <c r="F60" s="15" t="s">
        <v>64</v>
      </c>
      <c r="H60" s="6" t="s">
        <v>180</v>
      </c>
      <c r="J60" s="7" t="s">
        <v>41</v>
      </c>
      <c r="K60" s="8" t="s">
        <v>181</v>
      </c>
      <c r="L60" s="8" t="s">
        <v>119</v>
      </c>
      <c r="M60" s="6">
        <f t="shared" si="5"/>
        <v>0</v>
      </c>
      <c r="N60" s="9" t="s">
        <v>41</v>
      </c>
      <c r="O60" s="14" t="str">
        <f t="shared" si="3"/>
        <v>S</v>
      </c>
    </row>
    <row r="61" ht="15.75" customHeight="1">
      <c r="A61" s="1" t="s">
        <v>213</v>
      </c>
      <c r="B61" s="11" t="str">
        <f t="shared" si="1"/>
        <v>S</v>
      </c>
      <c r="C61" s="12"/>
      <c r="D61" s="4" t="s">
        <v>214</v>
      </c>
      <c r="E61" s="4">
        <v>18177.0</v>
      </c>
      <c r="F61" s="15" t="s">
        <v>64</v>
      </c>
      <c r="H61" s="6" t="s">
        <v>180</v>
      </c>
      <c r="J61" s="7" t="s">
        <v>41</v>
      </c>
      <c r="K61" s="8" t="s">
        <v>181</v>
      </c>
      <c r="L61" s="8" t="s">
        <v>119</v>
      </c>
      <c r="M61" s="6">
        <f t="shared" si="5"/>
        <v>0</v>
      </c>
      <c r="N61" s="9" t="s">
        <v>41</v>
      </c>
      <c r="O61" s="14" t="str">
        <f t="shared" si="3"/>
        <v>S</v>
      </c>
    </row>
    <row r="62" ht="15.75" customHeight="1">
      <c r="A62" s="1" t="s">
        <v>215</v>
      </c>
      <c r="B62" s="11" t="str">
        <f t="shared" si="1"/>
        <v>M</v>
      </c>
      <c r="C62" s="12"/>
      <c r="D62" s="4" t="s">
        <v>216</v>
      </c>
      <c r="E62" s="4">
        <v>16962.0</v>
      </c>
      <c r="F62" s="15" t="s">
        <v>51</v>
      </c>
      <c r="G62" s="6" t="s">
        <v>97</v>
      </c>
      <c r="H62" s="6" t="s">
        <v>180</v>
      </c>
      <c r="J62" s="7" t="s">
        <v>41</v>
      </c>
      <c r="K62" s="8" t="s">
        <v>217</v>
      </c>
      <c r="L62" s="8" t="s">
        <v>119</v>
      </c>
      <c r="M62" s="6">
        <f t="shared" si="5"/>
        <v>0</v>
      </c>
      <c r="N62" s="9" t="s">
        <v>100</v>
      </c>
      <c r="O62" s="14" t="str">
        <f t="shared" si="3"/>
        <v>M</v>
      </c>
    </row>
    <row r="63" ht="15.75" customHeight="1">
      <c r="A63" s="1" t="s">
        <v>218</v>
      </c>
      <c r="B63" s="11" t="str">
        <f t="shared" si="1"/>
        <v>I</v>
      </c>
      <c r="C63" s="12"/>
      <c r="D63" s="4" t="s">
        <v>219</v>
      </c>
      <c r="E63" s="4">
        <v>15480.0</v>
      </c>
      <c r="F63" s="6" t="s">
        <v>64</v>
      </c>
      <c r="G63" s="6" t="s">
        <v>65</v>
      </c>
      <c r="H63" s="6" t="s">
        <v>53</v>
      </c>
      <c r="J63" s="8" t="s">
        <v>64</v>
      </c>
      <c r="K63" s="8" t="s">
        <v>65</v>
      </c>
      <c r="L63" s="8" t="s">
        <v>119</v>
      </c>
      <c r="M63" s="6">
        <f t="shared" si="5"/>
        <v>1</v>
      </c>
      <c r="O63" s="14" t="str">
        <f t="shared" si="3"/>
        <v>I</v>
      </c>
    </row>
    <row r="64" ht="15.75" customHeight="1">
      <c r="A64" s="1" t="s">
        <v>220</v>
      </c>
      <c r="B64" s="11" t="str">
        <f t="shared" si="1"/>
        <v>I</v>
      </c>
      <c r="C64" s="12"/>
      <c r="D64" s="4" t="s">
        <v>221</v>
      </c>
      <c r="E64" s="4">
        <v>23824.0</v>
      </c>
      <c r="F64" s="8" t="s">
        <v>64</v>
      </c>
      <c r="G64" s="8" t="s">
        <v>222</v>
      </c>
      <c r="H64" s="8" t="s">
        <v>180</v>
      </c>
      <c r="J64" s="8" t="s">
        <v>64</v>
      </c>
      <c r="K64" s="8" t="s">
        <v>223</v>
      </c>
      <c r="L64" s="8" t="s">
        <v>119</v>
      </c>
      <c r="M64" s="6">
        <f t="shared" si="5"/>
        <v>1</v>
      </c>
      <c r="O64" s="14" t="str">
        <f t="shared" si="3"/>
        <v>I</v>
      </c>
    </row>
    <row r="65" ht="15.75" customHeight="1">
      <c r="A65" s="1" t="s">
        <v>224</v>
      </c>
      <c r="B65" s="11" t="str">
        <f t="shared" si="1"/>
        <v>E</v>
      </c>
      <c r="C65" s="12"/>
      <c r="D65" s="4" t="s">
        <v>225</v>
      </c>
      <c r="E65" s="4">
        <v>13530.0</v>
      </c>
      <c r="F65" s="15" t="s">
        <v>15</v>
      </c>
      <c r="G65" s="6" t="s">
        <v>142</v>
      </c>
      <c r="H65" s="6" t="s">
        <v>31</v>
      </c>
      <c r="J65" s="7" t="s">
        <v>41</v>
      </c>
      <c r="K65" s="8" t="s">
        <v>226</v>
      </c>
      <c r="L65" s="8" t="s">
        <v>19</v>
      </c>
      <c r="M65" s="6">
        <f t="shared" si="5"/>
        <v>0</v>
      </c>
      <c r="N65" s="9" t="s">
        <v>15</v>
      </c>
      <c r="O65" s="14" t="str">
        <f t="shared" si="3"/>
        <v>E</v>
      </c>
    </row>
    <row r="66" ht="15.75" customHeight="1">
      <c r="A66" s="1" t="s">
        <v>227</v>
      </c>
      <c r="B66" s="11" t="str">
        <f t="shared" si="1"/>
        <v>G</v>
      </c>
      <c r="C66" s="12"/>
      <c r="D66" s="4" t="s">
        <v>228</v>
      </c>
      <c r="E66" s="4">
        <v>18968.0</v>
      </c>
      <c r="F66" s="6" t="s">
        <v>51</v>
      </c>
      <c r="G66" s="6" t="s">
        <v>61</v>
      </c>
      <c r="H66" s="6" t="s">
        <v>53</v>
      </c>
      <c r="J66" s="8" t="s">
        <v>51</v>
      </c>
      <c r="K66" s="8" t="s">
        <v>61</v>
      </c>
      <c r="L66" s="8" t="s">
        <v>155</v>
      </c>
      <c r="M66" s="6">
        <f t="shared" si="5"/>
        <v>1</v>
      </c>
      <c r="O66" s="14" t="str">
        <f t="shared" si="3"/>
        <v>G</v>
      </c>
    </row>
    <row r="67" ht="15.75" customHeight="1">
      <c r="A67" s="1" t="s">
        <v>229</v>
      </c>
      <c r="B67" s="11" t="str">
        <f t="shared" si="1"/>
        <v>E</v>
      </c>
      <c r="C67" s="12"/>
      <c r="D67" s="4" t="s">
        <v>230</v>
      </c>
      <c r="E67" s="4">
        <v>23693.0</v>
      </c>
      <c r="F67" s="15" t="s">
        <v>15</v>
      </c>
      <c r="G67" s="6" t="s">
        <v>142</v>
      </c>
      <c r="H67" s="6" t="s">
        <v>31</v>
      </c>
      <c r="J67" s="7" t="s">
        <v>51</v>
      </c>
      <c r="K67" s="8" t="s">
        <v>231</v>
      </c>
      <c r="L67" s="8" t="s">
        <v>19</v>
      </c>
      <c r="M67" s="6">
        <f t="shared" si="5"/>
        <v>0</v>
      </c>
      <c r="N67" s="9" t="s">
        <v>15</v>
      </c>
      <c r="O67" s="14" t="str">
        <f t="shared" si="3"/>
        <v>E</v>
      </c>
    </row>
    <row r="68" ht="15.75" customHeight="1">
      <c r="A68" s="1" t="s">
        <v>232</v>
      </c>
      <c r="B68" s="11" t="str">
        <f t="shared" si="1"/>
        <v>I</v>
      </c>
      <c r="C68" s="12"/>
      <c r="D68" s="4" t="s">
        <v>233</v>
      </c>
      <c r="E68" s="4">
        <v>9745.0</v>
      </c>
      <c r="F68" s="6" t="s">
        <v>64</v>
      </c>
      <c r="G68" s="6" t="s">
        <v>65</v>
      </c>
      <c r="H68" s="6" t="s">
        <v>53</v>
      </c>
      <c r="J68" s="8" t="s">
        <v>64</v>
      </c>
      <c r="K68" s="8" t="s">
        <v>65</v>
      </c>
      <c r="L68" s="8" t="s">
        <v>53</v>
      </c>
      <c r="M68" s="6">
        <f t="shared" si="5"/>
        <v>1</v>
      </c>
      <c r="O68" s="14" t="str">
        <f t="shared" si="3"/>
        <v>I</v>
      </c>
    </row>
    <row r="69" ht="15.75" customHeight="1">
      <c r="A69" s="1" t="s">
        <v>234</v>
      </c>
      <c r="B69" s="11" t="str">
        <f t="shared" si="1"/>
        <v>I</v>
      </c>
      <c r="C69" s="12"/>
      <c r="D69" s="4" t="s">
        <v>235</v>
      </c>
      <c r="E69" s="4">
        <v>21065.0</v>
      </c>
      <c r="F69" s="6" t="s">
        <v>64</v>
      </c>
      <c r="G69" s="6" t="s">
        <v>65</v>
      </c>
      <c r="H69" s="6" t="s">
        <v>53</v>
      </c>
      <c r="J69" s="8" t="s">
        <v>64</v>
      </c>
      <c r="K69" s="8" t="s">
        <v>65</v>
      </c>
      <c r="L69" s="8" t="s">
        <v>28</v>
      </c>
      <c r="M69" s="6">
        <f t="shared" si="5"/>
        <v>1</v>
      </c>
      <c r="O69" s="14" t="str">
        <f t="shared" si="3"/>
        <v>I</v>
      </c>
    </row>
    <row r="70" ht="15.75" customHeight="1">
      <c r="A70" s="1" t="s">
        <v>236</v>
      </c>
      <c r="B70" s="11" t="str">
        <f t="shared" si="1"/>
        <v>I</v>
      </c>
      <c r="C70" s="12"/>
      <c r="D70" s="4" t="s">
        <v>237</v>
      </c>
      <c r="E70" s="4">
        <v>13620.0</v>
      </c>
      <c r="F70" s="6" t="s">
        <v>64</v>
      </c>
      <c r="G70" s="6" t="s">
        <v>65</v>
      </c>
      <c r="H70" s="6" t="s">
        <v>53</v>
      </c>
      <c r="J70" s="8" t="s">
        <v>64</v>
      </c>
      <c r="K70" s="8" t="s">
        <v>238</v>
      </c>
      <c r="L70" s="8" t="s">
        <v>53</v>
      </c>
      <c r="M70" s="6">
        <f t="shared" si="5"/>
        <v>1</v>
      </c>
      <c r="O70" s="14" t="str">
        <f t="shared" si="3"/>
        <v>I</v>
      </c>
    </row>
    <row r="71" ht="15.75" customHeight="1">
      <c r="A71" s="1" t="s">
        <v>239</v>
      </c>
      <c r="B71" s="11" t="str">
        <f t="shared" si="1"/>
        <v>I</v>
      </c>
      <c r="C71" s="12"/>
      <c r="D71" s="4" t="s">
        <v>240</v>
      </c>
      <c r="E71" s="4">
        <v>12083.0</v>
      </c>
      <c r="F71" s="6" t="s">
        <v>64</v>
      </c>
      <c r="G71" s="6" t="s">
        <v>241</v>
      </c>
      <c r="H71" s="6" t="s">
        <v>53</v>
      </c>
      <c r="J71" s="8" t="s">
        <v>64</v>
      </c>
      <c r="K71" s="8" t="s">
        <v>238</v>
      </c>
      <c r="L71" s="8" t="s">
        <v>242</v>
      </c>
      <c r="M71" s="6">
        <f t="shared" si="5"/>
        <v>1</v>
      </c>
      <c r="O71" s="14" t="str">
        <f t="shared" si="3"/>
        <v>I</v>
      </c>
    </row>
    <row r="72" ht="15.75" customHeight="1">
      <c r="A72" s="1" t="s">
        <v>243</v>
      </c>
      <c r="B72" s="11" t="str">
        <f t="shared" si="1"/>
        <v>I</v>
      </c>
      <c r="C72" s="12"/>
      <c r="D72" s="4" t="s">
        <v>244</v>
      </c>
      <c r="E72" s="4">
        <v>9921.0</v>
      </c>
      <c r="F72" s="6" t="s">
        <v>64</v>
      </c>
      <c r="G72" s="6" t="s">
        <v>65</v>
      </c>
      <c r="H72" s="6" t="s">
        <v>53</v>
      </c>
      <c r="J72" s="8" t="s">
        <v>64</v>
      </c>
      <c r="K72" s="8" t="s">
        <v>238</v>
      </c>
      <c r="L72" s="8" t="s">
        <v>53</v>
      </c>
      <c r="M72" s="6">
        <f t="shared" si="5"/>
        <v>1</v>
      </c>
      <c r="O72" s="14" t="str">
        <f t="shared" si="3"/>
        <v>I</v>
      </c>
    </row>
    <row r="73" ht="15.75" customHeight="1">
      <c r="A73" s="1" t="s">
        <v>245</v>
      </c>
      <c r="B73" s="11" t="str">
        <f t="shared" si="1"/>
        <v>I</v>
      </c>
      <c r="C73" s="12"/>
      <c r="D73" s="4" t="s">
        <v>246</v>
      </c>
      <c r="E73" s="4">
        <v>6353.0</v>
      </c>
      <c r="F73" s="6" t="s">
        <v>64</v>
      </c>
      <c r="G73" s="6" t="s">
        <v>65</v>
      </c>
      <c r="H73" s="6" t="s">
        <v>53</v>
      </c>
      <c r="J73" s="8" t="s">
        <v>64</v>
      </c>
      <c r="K73" s="8" t="s">
        <v>238</v>
      </c>
      <c r="L73" s="8" t="s">
        <v>53</v>
      </c>
      <c r="M73" s="6">
        <f t="shared" si="5"/>
        <v>1</v>
      </c>
      <c r="O73" s="14" t="str">
        <f t="shared" si="3"/>
        <v>I</v>
      </c>
    </row>
    <row r="74" ht="15.75" customHeight="1">
      <c r="A74" s="1" t="s">
        <v>247</v>
      </c>
      <c r="B74" s="11" t="str">
        <f t="shared" si="1"/>
        <v>I</v>
      </c>
      <c r="C74" s="12"/>
      <c r="D74" s="4" t="s">
        <v>248</v>
      </c>
      <c r="E74" s="4">
        <v>22670.0</v>
      </c>
      <c r="F74" s="6" t="s">
        <v>64</v>
      </c>
      <c r="G74" s="6" t="s">
        <v>65</v>
      </c>
      <c r="H74" s="6" t="s">
        <v>53</v>
      </c>
      <c r="J74" s="8" t="s">
        <v>64</v>
      </c>
      <c r="K74" s="8" t="s">
        <v>238</v>
      </c>
      <c r="L74" s="8" t="s">
        <v>119</v>
      </c>
      <c r="M74" s="6">
        <f t="shared" si="5"/>
        <v>1</v>
      </c>
      <c r="O74" s="14" t="str">
        <f t="shared" si="3"/>
        <v>I</v>
      </c>
    </row>
    <row r="75" ht="15.75" customHeight="1">
      <c r="A75" s="1" t="s">
        <v>249</v>
      </c>
      <c r="B75" s="11" t="str">
        <f t="shared" si="1"/>
        <v>I</v>
      </c>
      <c r="C75" s="12"/>
      <c r="D75" s="4" t="s">
        <v>250</v>
      </c>
      <c r="E75" s="4">
        <v>12947.0</v>
      </c>
      <c r="F75" s="6" t="s">
        <v>64</v>
      </c>
      <c r="G75" s="6" t="s">
        <v>65</v>
      </c>
      <c r="H75" s="6" t="s">
        <v>53</v>
      </c>
      <c r="J75" s="8" t="s">
        <v>64</v>
      </c>
      <c r="K75" s="8" t="s">
        <v>238</v>
      </c>
      <c r="L75" s="8" t="s">
        <v>53</v>
      </c>
      <c r="M75" s="6">
        <f t="shared" si="5"/>
        <v>1</v>
      </c>
      <c r="O75" s="14" t="str">
        <f t="shared" si="3"/>
        <v>I</v>
      </c>
    </row>
    <row r="76" ht="15.75" customHeight="1">
      <c r="A76" s="1" t="s">
        <v>251</v>
      </c>
      <c r="B76" s="11" t="str">
        <f t="shared" si="1"/>
        <v>I</v>
      </c>
      <c r="C76" s="12"/>
      <c r="D76" s="4" t="s">
        <v>252</v>
      </c>
      <c r="E76" s="4">
        <v>13403.0</v>
      </c>
      <c r="F76" s="6" t="s">
        <v>64</v>
      </c>
      <c r="G76" s="6" t="s">
        <v>65</v>
      </c>
      <c r="H76" s="6" t="s">
        <v>53</v>
      </c>
      <c r="J76" s="8" t="s">
        <v>64</v>
      </c>
      <c r="K76" s="8" t="s">
        <v>238</v>
      </c>
      <c r="L76" s="8" t="s">
        <v>53</v>
      </c>
      <c r="M76" s="6">
        <f t="shared" si="5"/>
        <v>1</v>
      </c>
      <c r="O76" s="14" t="str">
        <f t="shared" si="3"/>
        <v>I</v>
      </c>
    </row>
    <row r="77" ht="15.75" customHeight="1">
      <c r="A77" s="1" t="s">
        <v>253</v>
      </c>
      <c r="B77" s="11" t="str">
        <f t="shared" si="1"/>
        <v>I</v>
      </c>
      <c r="C77" s="12"/>
      <c r="D77" s="4" t="s">
        <v>254</v>
      </c>
      <c r="E77" s="4">
        <v>9717.0</v>
      </c>
      <c r="F77" s="6" t="s">
        <v>64</v>
      </c>
      <c r="G77" s="6" t="s">
        <v>65</v>
      </c>
      <c r="H77" s="6" t="s">
        <v>53</v>
      </c>
      <c r="J77" s="8" t="s">
        <v>64</v>
      </c>
      <c r="K77" s="8" t="s">
        <v>238</v>
      </c>
      <c r="L77" s="8" t="s">
        <v>53</v>
      </c>
      <c r="M77" s="6">
        <f t="shared" si="5"/>
        <v>1</v>
      </c>
      <c r="O77" s="14" t="str">
        <f t="shared" si="3"/>
        <v>I</v>
      </c>
    </row>
    <row r="78" ht="15.75" customHeight="1">
      <c r="A78" s="1" t="s">
        <v>255</v>
      </c>
      <c r="B78" s="11" t="str">
        <f t="shared" si="1"/>
        <v>I</v>
      </c>
      <c r="C78" s="12"/>
      <c r="D78" s="4" t="s">
        <v>256</v>
      </c>
      <c r="E78" s="4">
        <v>19312.0</v>
      </c>
      <c r="F78" s="6" t="s">
        <v>64</v>
      </c>
      <c r="G78" s="6" t="s">
        <v>257</v>
      </c>
      <c r="H78" s="6" t="s">
        <v>53</v>
      </c>
      <c r="J78" s="8" t="s">
        <v>64</v>
      </c>
      <c r="K78" s="8" t="s">
        <v>238</v>
      </c>
      <c r="L78" s="8" t="s">
        <v>53</v>
      </c>
      <c r="M78" s="6">
        <f t="shared" si="5"/>
        <v>1</v>
      </c>
      <c r="O78" s="14" t="str">
        <f t="shared" si="3"/>
        <v>I</v>
      </c>
    </row>
    <row r="79" ht="15.75" customHeight="1">
      <c r="A79" s="1" t="s">
        <v>258</v>
      </c>
      <c r="B79" s="11" t="str">
        <f t="shared" si="1"/>
        <v>I</v>
      </c>
      <c r="C79" s="12"/>
      <c r="D79" s="4" t="s">
        <v>259</v>
      </c>
      <c r="E79" s="4">
        <v>54455.0</v>
      </c>
      <c r="F79" s="6" t="s">
        <v>64</v>
      </c>
      <c r="G79" s="6" t="s">
        <v>257</v>
      </c>
      <c r="H79" s="6" t="s">
        <v>53</v>
      </c>
      <c r="J79" s="8" t="s">
        <v>64</v>
      </c>
      <c r="K79" s="8" t="s">
        <v>238</v>
      </c>
      <c r="L79" s="8" t="s">
        <v>53</v>
      </c>
      <c r="M79" s="6">
        <f t="shared" si="5"/>
        <v>1</v>
      </c>
      <c r="O79" s="14" t="str">
        <f t="shared" si="3"/>
        <v>I</v>
      </c>
    </row>
    <row r="80" ht="15.75" customHeight="1">
      <c r="A80" s="1" t="s">
        <v>260</v>
      </c>
      <c r="B80" s="11" t="str">
        <f t="shared" si="1"/>
        <v>I</v>
      </c>
      <c r="C80" s="12"/>
      <c r="D80" s="4" t="s">
        <v>261</v>
      </c>
      <c r="E80" s="4">
        <v>42260.0</v>
      </c>
      <c r="F80" s="6" t="s">
        <v>64</v>
      </c>
      <c r="G80" s="6" t="s">
        <v>65</v>
      </c>
      <c r="H80" s="6" t="s">
        <v>53</v>
      </c>
      <c r="I80" s="6" t="s">
        <v>262</v>
      </c>
      <c r="J80" s="8" t="s">
        <v>64</v>
      </c>
      <c r="K80" s="8" t="s">
        <v>238</v>
      </c>
      <c r="L80" s="8" t="s">
        <v>119</v>
      </c>
      <c r="M80" s="6">
        <f t="shared" si="5"/>
        <v>1</v>
      </c>
      <c r="O80" s="14" t="str">
        <f t="shared" si="3"/>
        <v>I</v>
      </c>
    </row>
    <row r="81" ht="15.75" customHeight="1">
      <c r="A81" s="1" t="s">
        <v>263</v>
      </c>
      <c r="B81" s="11" t="str">
        <f t="shared" si="1"/>
        <v>I</v>
      </c>
      <c r="C81" s="12"/>
      <c r="D81" s="4" t="s">
        <v>264</v>
      </c>
      <c r="E81" s="4">
        <v>19424.0</v>
      </c>
      <c r="F81" s="6" t="s">
        <v>64</v>
      </c>
      <c r="G81" s="6" t="s">
        <v>65</v>
      </c>
      <c r="H81" s="6" t="s">
        <v>53</v>
      </c>
      <c r="I81" s="6" t="s">
        <v>265</v>
      </c>
      <c r="J81" s="8" t="s">
        <v>64</v>
      </c>
      <c r="K81" s="8" t="s">
        <v>238</v>
      </c>
      <c r="L81" s="8" t="s">
        <v>119</v>
      </c>
      <c r="M81" s="6">
        <f t="shared" si="5"/>
        <v>1</v>
      </c>
      <c r="O81" s="14" t="str">
        <f t="shared" si="3"/>
        <v>I</v>
      </c>
    </row>
    <row r="82" ht="15.75" customHeight="1">
      <c r="A82" s="1" t="s">
        <v>266</v>
      </c>
      <c r="B82" s="11" t="str">
        <f t="shared" si="1"/>
        <v>I</v>
      </c>
      <c r="C82" s="12"/>
      <c r="D82" s="4" t="s">
        <v>267</v>
      </c>
      <c r="E82" s="4">
        <v>10529.0</v>
      </c>
      <c r="F82" s="6" t="s">
        <v>64</v>
      </c>
      <c r="G82" s="6" t="s">
        <v>65</v>
      </c>
      <c r="H82" s="6" t="s">
        <v>53</v>
      </c>
      <c r="J82" s="8" t="s">
        <v>64</v>
      </c>
      <c r="K82" s="8" t="s">
        <v>238</v>
      </c>
      <c r="L82" s="8" t="s">
        <v>119</v>
      </c>
      <c r="M82" s="6">
        <f t="shared" si="5"/>
        <v>1</v>
      </c>
      <c r="O82" s="14" t="str">
        <f t="shared" si="3"/>
        <v>I</v>
      </c>
    </row>
    <row r="83" ht="15.75" customHeight="1">
      <c r="A83" s="1" t="s">
        <v>268</v>
      </c>
      <c r="B83" s="11" t="str">
        <f t="shared" si="1"/>
        <v>I</v>
      </c>
      <c r="C83" s="12"/>
      <c r="D83" s="4" t="s">
        <v>269</v>
      </c>
      <c r="E83" s="4">
        <v>50298.0</v>
      </c>
      <c r="F83" s="6" t="s">
        <v>64</v>
      </c>
      <c r="G83" s="6" t="s">
        <v>65</v>
      </c>
      <c r="H83" s="6" t="s">
        <v>53</v>
      </c>
      <c r="J83" s="8" t="s">
        <v>64</v>
      </c>
      <c r="K83" s="8" t="s">
        <v>238</v>
      </c>
      <c r="L83" s="8" t="s">
        <v>53</v>
      </c>
      <c r="M83" s="6">
        <f t="shared" si="5"/>
        <v>1</v>
      </c>
      <c r="O83" s="14" t="str">
        <f t="shared" si="3"/>
        <v>I</v>
      </c>
    </row>
    <row r="84" ht="15.75" customHeight="1">
      <c r="A84" s="1" t="s">
        <v>270</v>
      </c>
      <c r="B84" s="11" t="str">
        <f t="shared" si="1"/>
        <v>S</v>
      </c>
      <c r="C84" s="12"/>
      <c r="D84" s="4" t="s">
        <v>271</v>
      </c>
      <c r="E84" s="4">
        <v>14242.0</v>
      </c>
      <c r="F84" s="6" t="s">
        <v>41</v>
      </c>
      <c r="G84" s="6" t="s">
        <v>272</v>
      </c>
      <c r="H84" s="6" t="s">
        <v>31</v>
      </c>
      <c r="J84" s="8" t="s">
        <v>41</v>
      </c>
      <c r="K84" s="8" t="s">
        <v>273</v>
      </c>
      <c r="L84" s="8" t="s">
        <v>274</v>
      </c>
      <c r="M84" s="6">
        <f t="shared" si="5"/>
        <v>1</v>
      </c>
      <c r="O84" s="14" t="str">
        <f t="shared" si="3"/>
        <v>S</v>
      </c>
    </row>
    <row r="85" ht="15.75" customHeight="1">
      <c r="A85" s="1" t="s">
        <v>275</v>
      </c>
      <c r="B85" s="11" t="str">
        <f t="shared" si="1"/>
        <v>S</v>
      </c>
      <c r="C85" s="12"/>
      <c r="D85" s="4" t="s">
        <v>276</v>
      </c>
      <c r="E85" s="4">
        <v>22534.0</v>
      </c>
      <c r="F85" s="6" t="s">
        <v>41</v>
      </c>
      <c r="G85" s="6" t="s">
        <v>159</v>
      </c>
      <c r="H85" s="6" t="s">
        <v>31</v>
      </c>
      <c r="J85" s="8" t="s">
        <v>41</v>
      </c>
      <c r="K85" s="8" t="s">
        <v>273</v>
      </c>
      <c r="L85" s="8" t="s">
        <v>119</v>
      </c>
      <c r="M85" s="6">
        <f t="shared" si="5"/>
        <v>1</v>
      </c>
      <c r="O85" s="14" t="str">
        <f t="shared" si="3"/>
        <v>S</v>
      </c>
    </row>
    <row r="86" ht="15.75" customHeight="1">
      <c r="A86" s="1" t="s">
        <v>277</v>
      </c>
      <c r="B86" s="11" t="str">
        <f t="shared" si="1"/>
        <v>M</v>
      </c>
      <c r="C86" s="12"/>
      <c r="D86" s="4" t="s">
        <v>278</v>
      </c>
      <c r="E86" s="4">
        <v>17514.0</v>
      </c>
      <c r="F86" s="15" t="s">
        <v>51</v>
      </c>
      <c r="G86" s="6" t="s">
        <v>97</v>
      </c>
      <c r="H86" s="6" t="s">
        <v>98</v>
      </c>
      <c r="J86" s="7" t="s">
        <v>41</v>
      </c>
      <c r="K86" s="8" t="s">
        <v>279</v>
      </c>
      <c r="L86" s="8" t="s">
        <v>274</v>
      </c>
      <c r="M86" s="6">
        <f t="shared" si="5"/>
        <v>0</v>
      </c>
      <c r="N86" s="9" t="s">
        <v>100</v>
      </c>
      <c r="O86" s="14" t="str">
        <f t="shared" si="3"/>
        <v>M</v>
      </c>
    </row>
    <row r="87" ht="15.75" customHeight="1">
      <c r="A87" s="1" t="s">
        <v>280</v>
      </c>
      <c r="B87" s="11" t="str">
        <f t="shared" si="1"/>
        <v>G</v>
      </c>
      <c r="C87" s="12"/>
      <c r="D87" s="4" t="s">
        <v>281</v>
      </c>
      <c r="E87" s="4">
        <v>19890.0</v>
      </c>
      <c r="F87" s="6" t="s">
        <v>51</v>
      </c>
      <c r="G87" s="6" t="s">
        <v>105</v>
      </c>
      <c r="H87" s="6" t="s">
        <v>150</v>
      </c>
      <c r="I87" s="8" t="s">
        <v>282</v>
      </c>
      <c r="J87" s="8" t="s">
        <v>51</v>
      </c>
      <c r="K87" s="8" t="s">
        <v>65</v>
      </c>
      <c r="L87" s="8" t="s">
        <v>155</v>
      </c>
      <c r="M87" s="6">
        <f t="shared" si="5"/>
        <v>1</v>
      </c>
      <c r="O87" s="14" t="str">
        <f t="shared" si="3"/>
        <v>G</v>
      </c>
    </row>
    <row r="88" ht="15.75" customHeight="1">
      <c r="A88" s="1" t="s">
        <v>283</v>
      </c>
      <c r="B88" s="11" t="str">
        <f t="shared" si="1"/>
        <v>S</v>
      </c>
      <c r="C88" s="12"/>
      <c r="D88" s="4" t="s">
        <v>284</v>
      </c>
      <c r="E88" s="4">
        <v>32914.0</v>
      </c>
      <c r="F88" s="15" t="s">
        <v>51</v>
      </c>
      <c r="G88" s="6" t="s">
        <v>105</v>
      </c>
      <c r="H88" s="6" t="s">
        <v>31</v>
      </c>
      <c r="J88" s="7" t="s">
        <v>41</v>
      </c>
      <c r="K88" s="8" t="s">
        <v>285</v>
      </c>
      <c r="L88" s="8" t="s">
        <v>53</v>
      </c>
      <c r="M88" s="6">
        <f t="shared" si="5"/>
        <v>0</v>
      </c>
      <c r="N88" s="9" t="s">
        <v>41</v>
      </c>
      <c r="O88" s="14" t="str">
        <f t="shared" si="3"/>
        <v>S</v>
      </c>
    </row>
    <row r="89" ht="15.75" customHeight="1">
      <c r="A89" s="1" t="s">
        <v>286</v>
      </c>
      <c r="B89" s="11" t="str">
        <f t="shared" si="1"/>
        <v>M</v>
      </c>
      <c r="C89" s="12"/>
      <c r="D89" s="4" t="s">
        <v>287</v>
      </c>
      <c r="E89" s="4">
        <v>15446.0</v>
      </c>
      <c r="F89" s="15" t="s">
        <v>51</v>
      </c>
      <c r="G89" s="6" t="s">
        <v>288</v>
      </c>
      <c r="J89" s="7" t="s">
        <v>41</v>
      </c>
      <c r="L89" s="8" t="s">
        <v>289</v>
      </c>
      <c r="M89" s="6">
        <f t="shared" si="5"/>
        <v>0</v>
      </c>
      <c r="N89" s="9" t="s">
        <v>100</v>
      </c>
      <c r="O89" s="14" t="str">
        <f t="shared" si="3"/>
        <v>M</v>
      </c>
    </row>
    <row r="90" ht="15.75" customHeight="1">
      <c r="A90" s="1" t="s">
        <v>290</v>
      </c>
      <c r="B90" s="11" t="str">
        <f t="shared" si="1"/>
        <v>I</v>
      </c>
      <c r="C90" s="12"/>
      <c r="D90" s="4" t="s">
        <v>291</v>
      </c>
      <c r="E90" s="4">
        <v>22471.0</v>
      </c>
      <c r="F90" s="6" t="s">
        <v>64</v>
      </c>
      <c r="G90" s="6" t="s">
        <v>65</v>
      </c>
      <c r="H90" s="6" t="s">
        <v>53</v>
      </c>
      <c r="J90" s="8" t="s">
        <v>64</v>
      </c>
      <c r="K90" s="8" t="s">
        <v>238</v>
      </c>
      <c r="L90" s="8" t="s">
        <v>289</v>
      </c>
      <c r="M90" s="6">
        <f t="shared" si="5"/>
        <v>1</v>
      </c>
      <c r="O90" s="14" t="str">
        <f t="shared" si="3"/>
        <v>I</v>
      </c>
    </row>
    <row r="91" ht="15.75" customHeight="1">
      <c r="A91" s="1" t="s">
        <v>292</v>
      </c>
      <c r="B91" s="11" t="str">
        <f t="shared" si="1"/>
        <v>I</v>
      </c>
      <c r="C91" s="12"/>
      <c r="D91" s="4" t="s">
        <v>293</v>
      </c>
      <c r="E91" s="4">
        <v>27.0</v>
      </c>
      <c r="F91" s="6" t="s">
        <v>64</v>
      </c>
      <c r="G91" s="6" t="s">
        <v>65</v>
      </c>
      <c r="H91" s="6" t="s">
        <v>53</v>
      </c>
      <c r="J91" s="8" t="s">
        <v>64</v>
      </c>
      <c r="K91" s="8" t="s">
        <v>238</v>
      </c>
      <c r="L91" s="8" t="s">
        <v>289</v>
      </c>
      <c r="M91" s="6">
        <f t="shared" si="5"/>
        <v>1</v>
      </c>
      <c r="O91" s="14" t="str">
        <f t="shared" si="3"/>
        <v>I</v>
      </c>
    </row>
    <row r="92" ht="15.75" customHeight="1">
      <c r="A92" s="1" t="s">
        <v>294</v>
      </c>
      <c r="B92" s="11" t="str">
        <f t="shared" si="1"/>
        <v>G</v>
      </c>
      <c r="C92" s="12"/>
      <c r="D92" s="4" t="s">
        <v>295</v>
      </c>
      <c r="E92" s="4">
        <v>110623.0</v>
      </c>
      <c r="F92" s="6" t="s">
        <v>51</v>
      </c>
      <c r="G92" s="6" t="s">
        <v>74</v>
      </c>
      <c r="H92" s="6" t="s">
        <v>53</v>
      </c>
      <c r="J92" s="8" t="s">
        <v>51</v>
      </c>
      <c r="K92" s="8" t="s">
        <v>74</v>
      </c>
      <c r="L92" s="8" t="s">
        <v>289</v>
      </c>
      <c r="M92" s="6">
        <f t="shared" si="5"/>
        <v>1</v>
      </c>
      <c r="O92" s="14" t="str">
        <f t="shared" si="3"/>
        <v>G</v>
      </c>
    </row>
    <row r="93" ht="15.75" customHeight="1">
      <c r="A93" s="1" t="s">
        <v>296</v>
      </c>
      <c r="B93" s="11" t="str">
        <f t="shared" si="1"/>
        <v>G</v>
      </c>
      <c r="C93" s="12"/>
      <c r="D93" s="4" t="s">
        <v>297</v>
      </c>
      <c r="E93" s="4">
        <v>19895.0</v>
      </c>
      <c r="F93" s="8" t="s">
        <v>51</v>
      </c>
      <c r="G93" s="8" t="s">
        <v>97</v>
      </c>
      <c r="H93" s="8" t="s">
        <v>298</v>
      </c>
      <c r="J93" s="8" t="s">
        <v>51</v>
      </c>
      <c r="K93" s="8" t="s">
        <v>299</v>
      </c>
      <c r="L93" s="8" t="s">
        <v>28</v>
      </c>
      <c r="M93" s="6">
        <f t="shared" si="5"/>
        <v>1</v>
      </c>
      <c r="O93" s="14" t="str">
        <f t="shared" si="3"/>
        <v>G</v>
      </c>
    </row>
    <row r="94" ht="15.75" customHeight="1">
      <c r="A94" s="1" t="s">
        <v>300</v>
      </c>
      <c r="B94" s="11" t="str">
        <f t="shared" si="1"/>
        <v>M</v>
      </c>
      <c r="C94" s="12"/>
      <c r="D94" s="4" t="s">
        <v>301</v>
      </c>
      <c r="E94" s="4">
        <v>35091.0</v>
      </c>
      <c r="F94" s="15" t="s">
        <v>15</v>
      </c>
      <c r="G94" s="6" t="s">
        <v>142</v>
      </c>
      <c r="H94" s="6" t="s">
        <v>17</v>
      </c>
      <c r="J94" s="7" t="s">
        <v>41</v>
      </c>
      <c r="L94" s="8" t="s">
        <v>28</v>
      </c>
      <c r="M94" s="6">
        <f t="shared" si="5"/>
        <v>0</v>
      </c>
      <c r="N94" s="9" t="s">
        <v>100</v>
      </c>
      <c r="O94" s="14" t="str">
        <f t="shared" si="3"/>
        <v>M</v>
      </c>
    </row>
    <row r="95" ht="15.75" customHeight="1">
      <c r="A95" s="1" t="s">
        <v>302</v>
      </c>
      <c r="B95" s="11" t="str">
        <f t="shared" si="1"/>
        <v>M</v>
      </c>
      <c r="C95" s="12"/>
      <c r="D95" s="4" t="s">
        <v>303</v>
      </c>
      <c r="E95" s="4">
        <v>11193.0</v>
      </c>
      <c r="F95" s="5" t="s">
        <v>51</v>
      </c>
      <c r="G95" s="8" t="s">
        <v>97</v>
      </c>
      <c r="H95" s="8" t="s">
        <v>298</v>
      </c>
      <c r="J95" s="7" t="s">
        <v>41</v>
      </c>
      <c r="K95" s="8" t="s">
        <v>304</v>
      </c>
      <c r="L95" s="8" t="s">
        <v>119</v>
      </c>
      <c r="M95" s="6">
        <f t="shared" si="5"/>
        <v>0</v>
      </c>
      <c r="N95" s="9" t="s">
        <v>100</v>
      </c>
      <c r="O95" s="14" t="str">
        <f t="shared" si="3"/>
        <v>M</v>
      </c>
    </row>
    <row r="96" ht="15.75" customHeight="1">
      <c r="A96" s="1" t="s">
        <v>305</v>
      </c>
      <c r="B96" s="11" t="str">
        <f t="shared" si="1"/>
        <v>E</v>
      </c>
      <c r="C96" s="12"/>
      <c r="D96" s="4" t="s">
        <v>306</v>
      </c>
      <c r="E96" s="4">
        <v>384.0</v>
      </c>
      <c r="F96" s="15" t="s">
        <v>15</v>
      </c>
      <c r="G96" s="6" t="s">
        <v>142</v>
      </c>
      <c r="H96" s="6" t="s">
        <v>31</v>
      </c>
      <c r="J96" s="7" t="s">
        <v>41</v>
      </c>
      <c r="K96" s="8" t="s">
        <v>307</v>
      </c>
      <c r="L96" s="8" t="s">
        <v>308</v>
      </c>
      <c r="M96" s="6">
        <f t="shared" si="5"/>
        <v>0</v>
      </c>
      <c r="N96" s="9" t="s">
        <v>15</v>
      </c>
      <c r="O96" s="14" t="str">
        <f t="shared" si="3"/>
        <v>E</v>
      </c>
    </row>
    <row r="97" ht="15.75" customHeight="1">
      <c r="A97" s="1" t="s">
        <v>309</v>
      </c>
      <c r="B97" s="11" t="str">
        <f t="shared" si="1"/>
        <v>E</v>
      </c>
      <c r="C97" s="12"/>
      <c r="D97" s="4" t="s">
        <v>310</v>
      </c>
      <c r="E97" s="4">
        <v>21468.0</v>
      </c>
      <c r="F97" s="15" t="s">
        <v>15</v>
      </c>
      <c r="G97" s="6" t="s">
        <v>142</v>
      </c>
      <c r="H97" s="6" t="s">
        <v>31</v>
      </c>
      <c r="J97" s="7" t="s">
        <v>41</v>
      </c>
      <c r="K97" s="8" t="s">
        <v>307</v>
      </c>
      <c r="L97" s="8" t="s">
        <v>308</v>
      </c>
      <c r="M97" s="6">
        <f t="shared" si="5"/>
        <v>0</v>
      </c>
      <c r="N97" s="9" t="s">
        <v>15</v>
      </c>
      <c r="O97" s="14" t="str">
        <f t="shared" si="3"/>
        <v>E</v>
      </c>
    </row>
    <row r="98" ht="15.75" customHeight="1">
      <c r="A98" s="1" t="s">
        <v>311</v>
      </c>
      <c r="B98" s="11" t="str">
        <f t="shared" si="1"/>
        <v>I</v>
      </c>
      <c r="C98" s="12"/>
      <c r="D98" s="4" t="s">
        <v>312</v>
      </c>
      <c r="E98" s="4">
        <v>3.0</v>
      </c>
      <c r="F98" s="6" t="s">
        <v>64</v>
      </c>
      <c r="G98" s="6" t="s">
        <v>65</v>
      </c>
      <c r="H98" s="6" t="s">
        <v>53</v>
      </c>
      <c r="J98" s="8" t="s">
        <v>64</v>
      </c>
      <c r="K98" s="8" t="s">
        <v>65</v>
      </c>
      <c r="L98" s="8" t="s">
        <v>155</v>
      </c>
      <c r="M98" s="6">
        <f t="shared" si="5"/>
        <v>1</v>
      </c>
      <c r="O98" s="14" t="str">
        <f t="shared" si="3"/>
        <v>I</v>
      </c>
    </row>
    <row r="99" ht="15.75" customHeight="1">
      <c r="A99" s="1" t="s">
        <v>313</v>
      </c>
      <c r="B99" s="11" t="str">
        <f t="shared" si="1"/>
        <v>G</v>
      </c>
      <c r="C99" s="12"/>
      <c r="D99" s="4" t="s">
        <v>314</v>
      </c>
      <c r="E99" s="4">
        <v>62886.0</v>
      </c>
      <c r="F99" s="25" t="s">
        <v>51</v>
      </c>
      <c r="G99" s="25" t="s">
        <v>97</v>
      </c>
      <c r="H99" s="6" t="s">
        <v>180</v>
      </c>
      <c r="J99" s="8" t="s">
        <v>51</v>
      </c>
      <c r="K99" s="8" t="s">
        <v>288</v>
      </c>
      <c r="L99" s="8" t="s">
        <v>119</v>
      </c>
      <c r="M99" s="6">
        <f t="shared" si="5"/>
        <v>1</v>
      </c>
      <c r="O99" s="14" t="str">
        <f t="shared" si="3"/>
        <v>G</v>
      </c>
    </row>
    <row r="100" ht="15.75" customHeight="1">
      <c r="A100" s="1" t="s">
        <v>315</v>
      </c>
      <c r="B100" s="11" t="str">
        <f t="shared" si="1"/>
        <v>I</v>
      </c>
      <c r="C100" s="12"/>
      <c r="D100" s="4" t="s">
        <v>316</v>
      </c>
      <c r="E100" s="4">
        <v>11132.0</v>
      </c>
      <c r="F100" s="6" t="s">
        <v>64</v>
      </c>
      <c r="G100" s="6" t="s">
        <v>65</v>
      </c>
      <c r="H100" s="6" t="s">
        <v>150</v>
      </c>
      <c r="J100" s="8" t="s">
        <v>64</v>
      </c>
      <c r="K100" s="8" t="s">
        <v>317</v>
      </c>
      <c r="L100" s="8" t="s">
        <v>28</v>
      </c>
      <c r="M100" s="6">
        <f t="shared" si="5"/>
        <v>1</v>
      </c>
      <c r="O100" s="14" t="str">
        <f t="shared" si="3"/>
        <v>I</v>
      </c>
    </row>
    <row r="101" ht="15.75" customHeight="1">
      <c r="A101" s="1" t="s">
        <v>318</v>
      </c>
      <c r="B101" s="11" t="str">
        <f t="shared" si="1"/>
        <v>S</v>
      </c>
      <c r="C101" s="12"/>
      <c r="D101" s="4" t="s">
        <v>319</v>
      </c>
      <c r="E101" s="4">
        <v>30725.0</v>
      </c>
      <c r="F101" s="6" t="s">
        <v>41</v>
      </c>
      <c r="G101" s="6" t="s">
        <v>159</v>
      </c>
      <c r="H101" s="6" t="s">
        <v>180</v>
      </c>
      <c r="J101" s="8" t="s">
        <v>41</v>
      </c>
      <c r="K101" s="8" t="s">
        <v>320</v>
      </c>
      <c r="L101" s="8" t="s">
        <v>119</v>
      </c>
      <c r="M101" s="6">
        <f t="shared" si="5"/>
        <v>1</v>
      </c>
      <c r="O101" s="14" t="str">
        <f t="shared" si="3"/>
        <v>S</v>
      </c>
    </row>
    <row r="102" ht="15.75" customHeight="1">
      <c r="A102" s="1" t="s">
        <v>321</v>
      </c>
      <c r="B102" s="11" t="str">
        <f t="shared" si="1"/>
        <v>S</v>
      </c>
      <c r="C102" s="12"/>
      <c r="D102" s="4" t="s">
        <v>322</v>
      </c>
      <c r="E102" s="4">
        <v>10286.0</v>
      </c>
      <c r="F102" s="6" t="s">
        <v>41</v>
      </c>
      <c r="G102" s="6" t="s">
        <v>159</v>
      </c>
      <c r="H102" s="6" t="s">
        <v>180</v>
      </c>
      <c r="J102" s="8" t="s">
        <v>41</v>
      </c>
      <c r="K102" s="8" t="s">
        <v>320</v>
      </c>
      <c r="L102" s="8" t="s">
        <v>119</v>
      </c>
      <c r="M102" s="6">
        <f t="shared" si="5"/>
        <v>1</v>
      </c>
      <c r="O102" s="14" t="str">
        <f t="shared" si="3"/>
        <v>S</v>
      </c>
    </row>
    <row r="103" ht="15.75" customHeight="1">
      <c r="A103" s="1" t="s">
        <v>323</v>
      </c>
      <c r="B103" s="11" t="str">
        <f t="shared" si="1"/>
        <v>S</v>
      </c>
      <c r="C103" s="12"/>
      <c r="D103" s="4" t="s">
        <v>324</v>
      </c>
      <c r="E103" s="4">
        <v>12815.0</v>
      </c>
      <c r="F103" s="6" t="s">
        <v>41</v>
      </c>
      <c r="G103" s="6" t="s">
        <v>159</v>
      </c>
      <c r="H103" s="6" t="s">
        <v>180</v>
      </c>
      <c r="J103" s="8" t="s">
        <v>41</v>
      </c>
      <c r="K103" s="8" t="s">
        <v>320</v>
      </c>
      <c r="L103" s="8" t="s">
        <v>119</v>
      </c>
      <c r="M103" s="6">
        <f t="shared" si="5"/>
        <v>1</v>
      </c>
      <c r="O103" s="14" t="str">
        <f t="shared" si="3"/>
        <v>S</v>
      </c>
    </row>
    <row r="104" ht="15.75" customHeight="1">
      <c r="A104" s="1" t="s">
        <v>325</v>
      </c>
      <c r="B104" s="11" t="str">
        <f t="shared" si="1"/>
        <v>S</v>
      </c>
      <c r="C104" s="12"/>
      <c r="D104" s="4" t="s">
        <v>326</v>
      </c>
      <c r="E104" s="4">
        <v>24497.0</v>
      </c>
      <c r="F104" s="6" t="s">
        <v>41</v>
      </c>
      <c r="G104" s="6" t="s">
        <v>159</v>
      </c>
      <c r="H104" s="6" t="s">
        <v>180</v>
      </c>
      <c r="J104" s="8" t="s">
        <v>41</v>
      </c>
      <c r="K104" s="8" t="s">
        <v>327</v>
      </c>
      <c r="L104" s="8" t="s">
        <v>328</v>
      </c>
      <c r="M104" s="6">
        <f t="shared" si="5"/>
        <v>1</v>
      </c>
      <c r="O104" s="14" t="str">
        <f t="shared" si="3"/>
        <v>S</v>
      </c>
    </row>
    <row r="105" ht="15.75" customHeight="1">
      <c r="A105" s="1" t="s">
        <v>329</v>
      </c>
      <c r="B105" s="11" t="str">
        <f t="shared" si="1"/>
        <v>S</v>
      </c>
      <c r="C105" s="12"/>
      <c r="D105" s="4" t="s">
        <v>330</v>
      </c>
      <c r="E105" s="4">
        <v>31312.0</v>
      </c>
      <c r="F105" s="6" t="s">
        <v>41</v>
      </c>
      <c r="G105" s="6" t="s">
        <v>159</v>
      </c>
      <c r="H105" s="6" t="s">
        <v>180</v>
      </c>
      <c r="J105" s="8" t="s">
        <v>41</v>
      </c>
      <c r="K105" s="8" t="s">
        <v>331</v>
      </c>
      <c r="L105" s="8" t="s">
        <v>19</v>
      </c>
      <c r="M105" s="6">
        <f t="shared" si="5"/>
        <v>1</v>
      </c>
      <c r="O105" s="14" t="str">
        <f t="shared" si="3"/>
        <v>S</v>
      </c>
    </row>
    <row r="106" ht="15.75" customHeight="1">
      <c r="A106" s="1" t="s">
        <v>332</v>
      </c>
      <c r="B106" s="11" t="str">
        <f t="shared" si="1"/>
        <v>M</v>
      </c>
      <c r="C106" s="12"/>
      <c r="D106" s="4" t="s">
        <v>333</v>
      </c>
      <c r="E106" s="4">
        <v>11024.0</v>
      </c>
      <c r="F106" s="15" t="s">
        <v>15</v>
      </c>
      <c r="H106" s="6" t="s">
        <v>17</v>
      </c>
      <c r="J106" s="7" t="s">
        <v>41</v>
      </c>
      <c r="K106" s="8" t="s">
        <v>334</v>
      </c>
      <c r="L106" s="8" t="s">
        <v>53</v>
      </c>
      <c r="M106" s="6">
        <f t="shared" si="5"/>
        <v>0</v>
      </c>
      <c r="N106" s="9" t="s">
        <v>100</v>
      </c>
      <c r="O106" s="14" t="str">
        <f t="shared" si="3"/>
        <v>M</v>
      </c>
    </row>
    <row r="107" ht="15.75" customHeight="1">
      <c r="A107" s="1" t="s">
        <v>335</v>
      </c>
      <c r="B107" s="11" t="str">
        <f t="shared" si="1"/>
        <v>G</v>
      </c>
      <c r="C107" s="12"/>
      <c r="D107" s="4" t="s">
        <v>336</v>
      </c>
      <c r="E107" s="4">
        <v>6782.0</v>
      </c>
      <c r="F107" s="6" t="s">
        <v>51</v>
      </c>
      <c r="G107" s="6" t="s">
        <v>337</v>
      </c>
      <c r="H107" s="6" t="s">
        <v>53</v>
      </c>
      <c r="J107" s="8" t="s">
        <v>51</v>
      </c>
      <c r="K107" s="8" t="s">
        <v>338</v>
      </c>
      <c r="L107" s="8" t="s">
        <v>53</v>
      </c>
      <c r="M107" s="6">
        <f t="shared" si="5"/>
        <v>1</v>
      </c>
      <c r="O107" s="14" t="str">
        <f t="shared" si="3"/>
        <v>G</v>
      </c>
    </row>
    <row r="108" ht="15.75" customHeight="1">
      <c r="A108" s="1" t="s">
        <v>339</v>
      </c>
      <c r="B108" s="11" t="str">
        <f t="shared" si="1"/>
        <v>I</v>
      </c>
      <c r="C108" s="12"/>
      <c r="D108" s="4" t="s">
        <v>340</v>
      </c>
      <c r="E108" s="4">
        <v>34726.0</v>
      </c>
      <c r="F108" s="6" t="s">
        <v>64</v>
      </c>
      <c r="H108" s="8" t="s">
        <v>180</v>
      </c>
      <c r="J108" s="8" t="s">
        <v>64</v>
      </c>
      <c r="K108" s="8" t="s">
        <v>341</v>
      </c>
      <c r="L108" s="8" t="s">
        <v>342</v>
      </c>
      <c r="M108" s="6">
        <f t="shared" si="5"/>
        <v>1</v>
      </c>
      <c r="O108" s="14" t="str">
        <f t="shared" si="3"/>
        <v>I</v>
      </c>
    </row>
    <row r="109" ht="15.75" customHeight="1">
      <c r="A109" s="1" t="s">
        <v>343</v>
      </c>
      <c r="B109" s="11" t="str">
        <f t="shared" si="1"/>
        <v>G</v>
      </c>
      <c r="C109" s="12"/>
      <c r="D109" s="4" t="s">
        <v>344</v>
      </c>
      <c r="E109" s="4">
        <v>28914.0</v>
      </c>
      <c r="F109" s="25" t="s">
        <v>51</v>
      </c>
      <c r="G109" s="25" t="s">
        <v>105</v>
      </c>
      <c r="H109" s="6" t="s">
        <v>53</v>
      </c>
      <c r="J109" s="8" t="s">
        <v>51</v>
      </c>
      <c r="K109" s="8" t="s">
        <v>345</v>
      </c>
      <c r="L109" s="8" t="s">
        <v>346</v>
      </c>
      <c r="M109" s="6">
        <f t="shared" si="5"/>
        <v>1</v>
      </c>
      <c r="O109" s="14" t="str">
        <f t="shared" si="3"/>
        <v>G</v>
      </c>
    </row>
    <row r="110" ht="15.75" customHeight="1">
      <c r="A110" s="1" t="s">
        <v>347</v>
      </c>
      <c r="B110" s="11" t="str">
        <f t="shared" si="1"/>
        <v>G</v>
      </c>
      <c r="C110" s="12"/>
      <c r="D110" s="4" t="s">
        <v>348</v>
      </c>
      <c r="E110" s="4">
        <v>11955.0</v>
      </c>
      <c r="F110" s="8" t="s">
        <v>51</v>
      </c>
      <c r="G110" s="8" t="s">
        <v>105</v>
      </c>
      <c r="H110" s="8" t="s">
        <v>180</v>
      </c>
      <c r="J110" s="8" t="s">
        <v>51</v>
      </c>
      <c r="K110" s="8" t="s">
        <v>349</v>
      </c>
      <c r="L110" s="8" t="s">
        <v>350</v>
      </c>
      <c r="M110" s="6">
        <f t="shared" si="5"/>
        <v>1</v>
      </c>
      <c r="O110" s="14" t="str">
        <f t="shared" si="3"/>
        <v>G</v>
      </c>
    </row>
    <row r="111" ht="15.75" customHeight="1">
      <c r="A111" s="1" t="s">
        <v>351</v>
      </c>
      <c r="B111" s="11" t="str">
        <f t="shared" si="1"/>
        <v>E</v>
      </c>
      <c r="C111" s="12"/>
      <c r="D111" s="4" t="s">
        <v>352</v>
      </c>
      <c r="E111" s="4">
        <v>29241.0</v>
      </c>
      <c r="F111" s="15" t="s">
        <v>15</v>
      </c>
      <c r="G111" s="6" t="s">
        <v>142</v>
      </c>
      <c r="H111" s="6" t="s">
        <v>31</v>
      </c>
      <c r="J111" s="7" t="s">
        <v>51</v>
      </c>
      <c r="K111" s="8" t="s">
        <v>349</v>
      </c>
      <c r="L111" s="8" t="s">
        <v>350</v>
      </c>
      <c r="M111" s="6">
        <f t="shared" si="5"/>
        <v>0</v>
      </c>
      <c r="N111" s="9" t="s">
        <v>15</v>
      </c>
      <c r="O111" s="14" t="str">
        <f t="shared" si="3"/>
        <v>E</v>
      </c>
    </row>
    <row r="112" ht="15.75" customHeight="1">
      <c r="A112" s="1" t="s">
        <v>353</v>
      </c>
      <c r="B112" s="11" t="str">
        <f t="shared" si="1"/>
        <v>G</v>
      </c>
      <c r="C112" s="12"/>
      <c r="D112" s="4" t="s">
        <v>354</v>
      </c>
      <c r="E112" s="4">
        <v>25647.0</v>
      </c>
      <c r="F112" s="25" t="s">
        <v>51</v>
      </c>
      <c r="G112" s="25" t="s">
        <v>105</v>
      </c>
      <c r="H112" s="6" t="s">
        <v>53</v>
      </c>
      <c r="J112" s="8" t="s">
        <v>51</v>
      </c>
      <c r="K112" s="8" t="s">
        <v>355</v>
      </c>
      <c r="L112" s="8" t="s">
        <v>119</v>
      </c>
      <c r="M112" s="6">
        <f t="shared" si="5"/>
        <v>1</v>
      </c>
      <c r="O112" s="14" t="str">
        <f t="shared" si="3"/>
        <v>G</v>
      </c>
    </row>
    <row r="113" ht="15.75" customHeight="1">
      <c r="A113" s="1" t="s">
        <v>356</v>
      </c>
      <c r="B113" s="11" t="str">
        <f t="shared" si="1"/>
        <v>S</v>
      </c>
      <c r="C113" s="12"/>
      <c r="D113" s="4" t="s">
        <v>357</v>
      </c>
      <c r="E113" s="4">
        <v>340.0</v>
      </c>
      <c r="F113" s="6" t="s">
        <v>41</v>
      </c>
      <c r="G113" s="6" t="s">
        <v>159</v>
      </c>
      <c r="H113" s="6" t="s">
        <v>180</v>
      </c>
      <c r="J113" s="8" t="s">
        <v>41</v>
      </c>
      <c r="K113" s="8" t="s">
        <v>320</v>
      </c>
      <c r="L113" s="8" t="s">
        <v>119</v>
      </c>
      <c r="M113" s="6">
        <f t="shared" si="5"/>
        <v>1</v>
      </c>
      <c r="O113" s="14" t="str">
        <f t="shared" si="3"/>
        <v>S</v>
      </c>
    </row>
    <row r="114" ht="15.75" customHeight="1">
      <c r="A114" s="1" t="s">
        <v>358</v>
      </c>
      <c r="B114" s="11" t="str">
        <f t="shared" si="1"/>
        <v>I</v>
      </c>
      <c r="C114" s="12"/>
      <c r="D114" s="4" t="s">
        <v>359</v>
      </c>
      <c r="E114" s="4">
        <v>16071.0</v>
      </c>
      <c r="F114" s="6" t="s">
        <v>64</v>
      </c>
      <c r="G114" s="6" t="s">
        <v>65</v>
      </c>
      <c r="H114" s="6" t="s">
        <v>53</v>
      </c>
      <c r="J114" s="8" t="s">
        <v>64</v>
      </c>
      <c r="K114" s="8" t="s">
        <v>360</v>
      </c>
      <c r="L114" s="8" t="s">
        <v>53</v>
      </c>
      <c r="M114" s="6">
        <f t="shared" si="5"/>
        <v>1</v>
      </c>
      <c r="O114" s="14" t="str">
        <f t="shared" si="3"/>
        <v>I</v>
      </c>
    </row>
    <row r="115" ht="15.75" customHeight="1">
      <c r="A115" s="1" t="s">
        <v>361</v>
      </c>
      <c r="B115" s="11" t="str">
        <f t="shared" si="1"/>
        <v>I</v>
      </c>
      <c r="C115" s="12"/>
      <c r="D115" s="4" t="s">
        <v>362</v>
      </c>
      <c r="E115" s="4">
        <v>7779.0</v>
      </c>
      <c r="F115" s="6" t="s">
        <v>64</v>
      </c>
      <c r="G115" s="6" t="s">
        <v>159</v>
      </c>
      <c r="H115" s="6" t="s">
        <v>180</v>
      </c>
      <c r="J115" s="8" t="s">
        <v>64</v>
      </c>
      <c r="K115" s="8" t="s">
        <v>363</v>
      </c>
      <c r="L115" s="8" t="s">
        <v>350</v>
      </c>
      <c r="M115" s="6">
        <f t="shared" si="5"/>
        <v>1</v>
      </c>
      <c r="O115" s="14" t="str">
        <f t="shared" si="3"/>
        <v>I</v>
      </c>
    </row>
    <row r="116" ht="15.75" customHeight="1">
      <c r="A116" s="1" t="s">
        <v>364</v>
      </c>
      <c r="B116" s="11" t="str">
        <f t="shared" si="1"/>
        <v>E</v>
      </c>
      <c r="C116" s="12"/>
      <c r="D116" s="4" t="s">
        <v>365</v>
      </c>
      <c r="E116" s="4">
        <v>57324.0</v>
      </c>
      <c r="F116" s="15" t="s">
        <v>15</v>
      </c>
      <c r="G116" s="6" t="s">
        <v>142</v>
      </c>
      <c r="H116" s="6" t="s">
        <v>31</v>
      </c>
      <c r="J116" s="7" t="s">
        <v>41</v>
      </c>
      <c r="K116" s="8" t="s">
        <v>366</v>
      </c>
      <c r="L116" s="8" t="s">
        <v>19</v>
      </c>
      <c r="M116" s="6">
        <f t="shared" si="5"/>
        <v>0</v>
      </c>
      <c r="N116" s="9" t="s">
        <v>15</v>
      </c>
      <c r="O116" s="14" t="str">
        <f t="shared" si="3"/>
        <v>E</v>
      </c>
    </row>
    <row r="117" ht="15.75" customHeight="1">
      <c r="A117" s="1" t="s">
        <v>367</v>
      </c>
      <c r="B117" s="11" t="str">
        <f t="shared" si="1"/>
        <v>G</v>
      </c>
      <c r="C117" s="12"/>
      <c r="D117" s="4" t="s">
        <v>368</v>
      </c>
      <c r="E117" s="4">
        <v>7424.0</v>
      </c>
      <c r="F117" s="25" t="s">
        <v>51</v>
      </c>
      <c r="G117" s="25" t="s">
        <v>105</v>
      </c>
      <c r="H117" s="6" t="s">
        <v>53</v>
      </c>
      <c r="J117" s="8" t="s">
        <v>51</v>
      </c>
      <c r="K117" s="8" t="s">
        <v>369</v>
      </c>
      <c r="L117" s="8" t="s">
        <v>370</v>
      </c>
      <c r="M117" s="6">
        <f t="shared" si="5"/>
        <v>1</v>
      </c>
      <c r="O117" s="14" t="str">
        <f t="shared" si="3"/>
        <v>G</v>
      </c>
    </row>
    <row r="118" ht="15.75" customHeight="1">
      <c r="A118" s="1" t="s">
        <v>371</v>
      </c>
      <c r="B118" s="11" t="str">
        <f t="shared" si="1"/>
        <v>G</v>
      </c>
      <c r="C118" s="12"/>
      <c r="D118" s="4" t="s">
        <v>372</v>
      </c>
      <c r="E118" s="4">
        <v>9139.0</v>
      </c>
      <c r="F118" s="6" t="s">
        <v>51</v>
      </c>
      <c r="H118" s="6" t="s">
        <v>180</v>
      </c>
      <c r="J118" s="8" t="s">
        <v>51</v>
      </c>
      <c r="K118" s="8" t="s">
        <v>373</v>
      </c>
      <c r="L118" s="8" t="s">
        <v>119</v>
      </c>
      <c r="M118" s="6">
        <f t="shared" si="5"/>
        <v>1</v>
      </c>
      <c r="O118" s="14" t="str">
        <f t="shared" si="3"/>
        <v>G</v>
      </c>
    </row>
    <row r="119" ht="15.75" customHeight="1">
      <c r="A119" s="1" t="s">
        <v>374</v>
      </c>
      <c r="B119" s="11" t="str">
        <f t="shared" si="1"/>
        <v>E</v>
      </c>
      <c r="C119" s="12"/>
      <c r="D119" s="4" t="s">
        <v>375</v>
      </c>
      <c r="E119" s="4">
        <v>10920.0</v>
      </c>
      <c r="F119" s="6" t="s">
        <v>15</v>
      </c>
      <c r="H119" s="6" t="s">
        <v>17</v>
      </c>
      <c r="J119" s="8" t="s">
        <v>15</v>
      </c>
      <c r="K119" s="8" t="s">
        <v>376</v>
      </c>
      <c r="L119" s="8" t="s">
        <v>19</v>
      </c>
      <c r="M119" s="6">
        <f t="shared" si="5"/>
        <v>1</v>
      </c>
      <c r="O119" s="14" t="str">
        <f t="shared" si="3"/>
        <v>E</v>
      </c>
    </row>
    <row r="120" ht="15.75" customHeight="1">
      <c r="A120" s="1" t="s">
        <v>377</v>
      </c>
      <c r="B120" s="11" t="str">
        <f t="shared" si="1"/>
        <v>G</v>
      </c>
      <c r="C120" s="12"/>
      <c r="D120" s="4" t="s">
        <v>378</v>
      </c>
      <c r="E120" s="4">
        <v>11661.0</v>
      </c>
      <c r="F120" s="6" t="s">
        <v>51</v>
      </c>
      <c r="G120" s="6" t="s">
        <v>97</v>
      </c>
      <c r="H120" s="6" t="s">
        <v>98</v>
      </c>
      <c r="J120" s="8" t="s">
        <v>51</v>
      </c>
      <c r="K120" s="8" t="s">
        <v>379</v>
      </c>
      <c r="L120" s="8" t="s">
        <v>19</v>
      </c>
      <c r="M120" s="6">
        <f t="shared" si="5"/>
        <v>1</v>
      </c>
      <c r="O120" s="14" t="str">
        <f t="shared" si="3"/>
        <v>G</v>
      </c>
    </row>
    <row r="121" ht="15.75" customHeight="1">
      <c r="A121" s="1" t="s">
        <v>380</v>
      </c>
      <c r="B121" s="11" t="str">
        <f t="shared" si="1"/>
        <v>M</v>
      </c>
      <c r="C121" s="12"/>
      <c r="D121" s="4" t="s">
        <v>381</v>
      </c>
      <c r="E121" s="4">
        <v>31776.0</v>
      </c>
      <c r="F121" s="15" t="s">
        <v>51</v>
      </c>
      <c r="G121" s="6" t="s">
        <v>288</v>
      </c>
      <c r="H121" s="6" t="s">
        <v>98</v>
      </c>
      <c r="J121" s="7" t="s">
        <v>41</v>
      </c>
      <c r="K121" s="8" t="s">
        <v>288</v>
      </c>
      <c r="L121" s="8" t="s">
        <v>19</v>
      </c>
      <c r="M121" s="6">
        <f t="shared" si="5"/>
        <v>0</v>
      </c>
      <c r="N121" s="9" t="s">
        <v>100</v>
      </c>
      <c r="O121" s="14" t="str">
        <f t="shared" si="3"/>
        <v>M</v>
      </c>
    </row>
    <row r="122" ht="15.75" customHeight="1">
      <c r="A122" s="1" t="s">
        <v>382</v>
      </c>
      <c r="B122" s="11" t="str">
        <f t="shared" si="1"/>
        <v>M</v>
      </c>
      <c r="C122" s="12"/>
      <c r="D122" s="4" t="s">
        <v>381</v>
      </c>
      <c r="E122" s="4">
        <v>111.0</v>
      </c>
      <c r="F122" s="15" t="s">
        <v>51</v>
      </c>
      <c r="G122" s="6" t="s">
        <v>97</v>
      </c>
      <c r="H122" s="6" t="s">
        <v>98</v>
      </c>
      <c r="J122" s="7" t="s">
        <v>41</v>
      </c>
      <c r="K122" s="8" t="s">
        <v>288</v>
      </c>
      <c r="L122" s="8" t="s">
        <v>19</v>
      </c>
      <c r="M122" s="6">
        <f t="shared" si="5"/>
        <v>0</v>
      </c>
      <c r="N122" s="9" t="s">
        <v>100</v>
      </c>
      <c r="O122" s="14" t="str">
        <f t="shared" si="3"/>
        <v>M</v>
      </c>
    </row>
    <row r="123" ht="15.75" customHeight="1">
      <c r="A123" s="1" t="s">
        <v>383</v>
      </c>
      <c r="B123" s="11" t="str">
        <f t="shared" si="1"/>
        <v>S</v>
      </c>
      <c r="C123" s="12"/>
      <c r="D123" s="4" t="s">
        <v>384</v>
      </c>
      <c r="E123" s="4">
        <v>9641.0</v>
      </c>
      <c r="F123" s="15" t="s">
        <v>51</v>
      </c>
      <c r="G123" s="8" t="s">
        <v>105</v>
      </c>
      <c r="H123" s="8" t="s">
        <v>53</v>
      </c>
      <c r="J123" s="7" t="s">
        <v>41</v>
      </c>
      <c r="K123" s="8" t="s">
        <v>385</v>
      </c>
      <c r="L123" s="8" t="s">
        <v>53</v>
      </c>
      <c r="M123" s="6">
        <f t="shared" si="5"/>
        <v>0</v>
      </c>
      <c r="N123" s="9" t="s">
        <v>41</v>
      </c>
      <c r="O123" s="14" t="str">
        <f t="shared" si="3"/>
        <v>S</v>
      </c>
    </row>
    <row r="124" ht="15.75" customHeight="1">
      <c r="A124" s="1" t="s">
        <v>386</v>
      </c>
      <c r="B124" s="11" t="str">
        <f t="shared" si="1"/>
        <v>G</v>
      </c>
      <c r="C124" s="12"/>
      <c r="D124" s="4" t="s">
        <v>387</v>
      </c>
      <c r="E124" s="4">
        <v>13984.0</v>
      </c>
      <c r="F124" s="5" t="s">
        <v>51</v>
      </c>
      <c r="G124" s="8" t="s">
        <v>105</v>
      </c>
      <c r="H124" s="8" t="s">
        <v>53</v>
      </c>
      <c r="J124" s="7" t="s">
        <v>41</v>
      </c>
      <c r="K124" s="8" t="s">
        <v>388</v>
      </c>
      <c r="L124" s="8" t="s">
        <v>53</v>
      </c>
      <c r="M124" s="6">
        <f t="shared" si="5"/>
        <v>0</v>
      </c>
      <c r="N124" s="9" t="s">
        <v>51</v>
      </c>
      <c r="O124" s="14" t="str">
        <f t="shared" si="3"/>
        <v>G</v>
      </c>
    </row>
    <row r="125" ht="15.75" customHeight="1">
      <c r="A125" s="1" t="s">
        <v>389</v>
      </c>
      <c r="B125" s="11" t="str">
        <f t="shared" si="1"/>
        <v>M</v>
      </c>
      <c r="C125" s="12"/>
      <c r="D125" s="4" t="s">
        <v>390</v>
      </c>
      <c r="E125" s="4">
        <v>10310.0</v>
      </c>
      <c r="F125" s="15" t="s">
        <v>15</v>
      </c>
      <c r="G125" s="6" t="s">
        <v>391</v>
      </c>
      <c r="H125" s="6" t="s">
        <v>53</v>
      </c>
      <c r="J125" s="7" t="s">
        <v>41</v>
      </c>
      <c r="K125" s="8" t="s">
        <v>392</v>
      </c>
      <c r="L125" s="8" t="s">
        <v>19</v>
      </c>
      <c r="M125" s="6">
        <f t="shared" si="5"/>
        <v>0</v>
      </c>
      <c r="N125" s="9" t="s">
        <v>100</v>
      </c>
      <c r="O125" s="14" t="str">
        <f t="shared" si="3"/>
        <v>M</v>
      </c>
    </row>
    <row r="126" ht="15.75" customHeight="1">
      <c r="A126" s="1" t="s">
        <v>393</v>
      </c>
      <c r="B126" s="11" t="str">
        <f t="shared" si="1"/>
        <v>I</v>
      </c>
      <c r="C126" s="12"/>
      <c r="D126" s="4" t="s">
        <v>394</v>
      </c>
      <c r="E126" s="4">
        <v>15688.0</v>
      </c>
      <c r="F126" s="6" t="s">
        <v>64</v>
      </c>
      <c r="G126" s="6" t="s">
        <v>65</v>
      </c>
      <c r="H126" s="6" t="s">
        <v>53</v>
      </c>
      <c r="J126" s="8" t="s">
        <v>64</v>
      </c>
      <c r="K126" s="8" t="s">
        <v>238</v>
      </c>
      <c r="L126" s="8" t="s">
        <v>19</v>
      </c>
      <c r="M126" s="6">
        <f t="shared" si="5"/>
        <v>1</v>
      </c>
      <c r="O126" s="14" t="str">
        <f t="shared" si="3"/>
        <v>I</v>
      </c>
    </row>
    <row r="127" ht="15.75" customHeight="1">
      <c r="A127" s="1" t="s">
        <v>395</v>
      </c>
      <c r="B127" s="11" t="str">
        <f t="shared" si="1"/>
        <v>S</v>
      </c>
      <c r="C127" s="12"/>
      <c r="D127" s="4" t="s">
        <v>396</v>
      </c>
      <c r="E127" s="4">
        <v>17490.0</v>
      </c>
      <c r="F127" s="6" t="s">
        <v>41</v>
      </c>
      <c r="G127" s="6" t="s">
        <v>159</v>
      </c>
      <c r="H127" s="6" t="s">
        <v>180</v>
      </c>
      <c r="J127" s="8" t="s">
        <v>41</v>
      </c>
      <c r="K127" s="8" t="s">
        <v>320</v>
      </c>
      <c r="L127" s="8" t="s">
        <v>289</v>
      </c>
      <c r="M127" s="6">
        <f t="shared" si="5"/>
        <v>1</v>
      </c>
      <c r="O127" s="14" t="str">
        <f t="shared" si="3"/>
        <v>S</v>
      </c>
    </row>
    <row r="128" ht="15.75" customHeight="1">
      <c r="A128" s="1" t="s">
        <v>397</v>
      </c>
      <c r="B128" s="11" t="str">
        <f t="shared" si="1"/>
        <v>I</v>
      </c>
      <c r="C128" s="12"/>
      <c r="D128" s="4" t="s">
        <v>398</v>
      </c>
      <c r="E128" s="4">
        <v>11401.0</v>
      </c>
      <c r="F128" s="6" t="s">
        <v>64</v>
      </c>
      <c r="G128" s="6" t="s">
        <v>399</v>
      </c>
      <c r="H128" s="6" t="s">
        <v>53</v>
      </c>
      <c r="J128" s="8" t="s">
        <v>64</v>
      </c>
      <c r="K128" s="8" t="s">
        <v>400</v>
      </c>
      <c r="L128" s="8" t="s">
        <v>401</v>
      </c>
      <c r="M128" s="6">
        <f t="shared" si="5"/>
        <v>1</v>
      </c>
      <c r="O128" s="14" t="str">
        <f t="shared" si="3"/>
        <v>I</v>
      </c>
    </row>
    <row r="129" ht="15.75" customHeight="1">
      <c r="A129" s="1" t="s">
        <v>402</v>
      </c>
      <c r="B129" s="11" t="str">
        <f t="shared" si="1"/>
        <v>E</v>
      </c>
      <c r="C129" s="12"/>
      <c r="D129" s="4" t="s">
        <v>403</v>
      </c>
      <c r="E129" s="4">
        <v>9203.0</v>
      </c>
      <c r="F129" s="15" t="s">
        <v>15</v>
      </c>
      <c r="G129" s="6" t="s">
        <v>142</v>
      </c>
      <c r="H129" s="6" t="s">
        <v>17</v>
      </c>
      <c r="J129" s="7" t="s">
        <v>41</v>
      </c>
      <c r="K129" s="8" t="s">
        <v>404</v>
      </c>
      <c r="L129" s="8" t="s">
        <v>19</v>
      </c>
      <c r="M129" s="6">
        <f t="shared" si="5"/>
        <v>0</v>
      </c>
      <c r="N129" s="9" t="s">
        <v>15</v>
      </c>
      <c r="O129" s="14" t="str">
        <f t="shared" si="3"/>
        <v>E</v>
      </c>
    </row>
    <row r="130" ht="15.75" customHeight="1">
      <c r="A130" s="1" t="s">
        <v>405</v>
      </c>
      <c r="B130" s="11" t="str">
        <f t="shared" si="1"/>
        <v>I</v>
      </c>
      <c r="C130" s="12"/>
      <c r="D130" s="4" t="s">
        <v>152</v>
      </c>
      <c r="E130" s="4">
        <v>256.0</v>
      </c>
      <c r="F130" s="6" t="s">
        <v>64</v>
      </c>
      <c r="G130" s="6" t="s">
        <v>65</v>
      </c>
      <c r="H130" s="6" t="s">
        <v>53</v>
      </c>
      <c r="J130" s="8" t="s">
        <v>64</v>
      </c>
      <c r="K130" s="8" t="s">
        <v>238</v>
      </c>
      <c r="L130" s="8" t="s">
        <v>53</v>
      </c>
      <c r="M130" s="6">
        <f t="shared" si="5"/>
        <v>1</v>
      </c>
      <c r="O130" s="14" t="str">
        <f t="shared" si="3"/>
        <v>I</v>
      </c>
    </row>
    <row r="131" ht="15.75" customHeight="1">
      <c r="A131" s="1" t="s">
        <v>406</v>
      </c>
      <c r="B131" s="11" t="str">
        <f t="shared" si="1"/>
        <v>G</v>
      </c>
      <c r="C131" s="12"/>
      <c r="D131" s="4" t="s">
        <v>407</v>
      </c>
      <c r="E131" s="4">
        <v>10789.0</v>
      </c>
      <c r="F131" s="6" t="s">
        <v>51</v>
      </c>
      <c r="G131" s="6" t="s">
        <v>57</v>
      </c>
      <c r="H131" s="6" t="s">
        <v>53</v>
      </c>
      <c r="J131" s="8" t="s">
        <v>51</v>
      </c>
      <c r="K131" s="8" t="s">
        <v>408</v>
      </c>
      <c r="L131" s="8" t="s">
        <v>53</v>
      </c>
      <c r="M131" s="6">
        <f t="shared" si="5"/>
        <v>1</v>
      </c>
      <c r="O131" s="14" t="str">
        <f t="shared" si="3"/>
        <v>G</v>
      </c>
    </row>
    <row r="132" ht="15.75" customHeight="1">
      <c r="A132" s="1" t="s">
        <v>409</v>
      </c>
      <c r="B132" s="11" t="str">
        <f t="shared" si="1"/>
        <v>I</v>
      </c>
      <c r="C132" s="12"/>
      <c r="D132" s="4" t="s">
        <v>410</v>
      </c>
      <c r="E132" s="4">
        <v>11403.0</v>
      </c>
      <c r="F132" s="6" t="s">
        <v>64</v>
      </c>
      <c r="G132" s="6" t="s">
        <v>65</v>
      </c>
      <c r="H132" s="6" t="s">
        <v>53</v>
      </c>
      <c r="J132" s="8" t="s">
        <v>64</v>
      </c>
      <c r="K132" s="8" t="s">
        <v>238</v>
      </c>
      <c r="L132" s="8" t="s">
        <v>411</v>
      </c>
      <c r="M132" s="6">
        <f t="shared" si="5"/>
        <v>1</v>
      </c>
      <c r="O132" s="14" t="str">
        <f t="shared" si="3"/>
        <v>I</v>
      </c>
    </row>
    <row r="133" ht="15.75" customHeight="1">
      <c r="A133" s="1" t="s">
        <v>412</v>
      </c>
      <c r="B133" s="11" t="str">
        <f t="shared" si="1"/>
        <v>I</v>
      </c>
      <c r="C133" s="12"/>
      <c r="D133" s="4" t="s">
        <v>413</v>
      </c>
      <c r="E133" s="4">
        <v>3073.0</v>
      </c>
      <c r="F133" s="15" t="s">
        <v>64</v>
      </c>
      <c r="G133" s="6" t="s">
        <v>65</v>
      </c>
      <c r="H133" s="6" t="s">
        <v>53</v>
      </c>
      <c r="J133" s="7" t="s">
        <v>51</v>
      </c>
      <c r="K133" s="8" t="s">
        <v>414</v>
      </c>
      <c r="L133" s="8" t="s">
        <v>53</v>
      </c>
      <c r="M133" s="6">
        <f t="shared" si="5"/>
        <v>0</v>
      </c>
      <c r="N133" s="9" t="s">
        <v>64</v>
      </c>
      <c r="O133" s="14" t="str">
        <f t="shared" si="3"/>
        <v>I</v>
      </c>
    </row>
    <row r="134" ht="15.75" customHeight="1">
      <c r="A134" s="1" t="s">
        <v>415</v>
      </c>
      <c r="B134" s="11" t="str">
        <f t="shared" si="1"/>
        <v>M</v>
      </c>
      <c r="C134" s="12"/>
      <c r="D134" s="4" t="s">
        <v>416</v>
      </c>
      <c r="E134" s="4">
        <v>905.0</v>
      </c>
      <c r="F134" s="15" t="s">
        <v>51</v>
      </c>
      <c r="G134" s="6" t="s">
        <v>97</v>
      </c>
      <c r="H134" s="6" t="s">
        <v>98</v>
      </c>
      <c r="J134" s="7" t="s">
        <v>41</v>
      </c>
      <c r="K134" s="8" t="s">
        <v>191</v>
      </c>
      <c r="L134" s="8" t="s">
        <v>19</v>
      </c>
      <c r="M134" s="6">
        <f t="shared" si="5"/>
        <v>0</v>
      </c>
      <c r="N134" s="9" t="s">
        <v>100</v>
      </c>
      <c r="O134" s="14" t="str">
        <f t="shared" si="3"/>
        <v>M</v>
      </c>
    </row>
    <row r="135" ht="15.75" customHeight="1">
      <c r="A135" s="1" t="s">
        <v>417</v>
      </c>
      <c r="B135" s="11" t="str">
        <f t="shared" si="1"/>
        <v>S</v>
      </c>
      <c r="C135" s="12"/>
      <c r="D135" s="4" t="s">
        <v>418</v>
      </c>
      <c r="E135" s="4">
        <v>12613.0</v>
      </c>
      <c r="F135" s="6" t="s">
        <v>41</v>
      </c>
      <c r="G135" s="6" t="s">
        <v>159</v>
      </c>
      <c r="H135" s="6" t="s">
        <v>180</v>
      </c>
      <c r="J135" s="8" t="s">
        <v>41</v>
      </c>
      <c r="K135" s="8" t="s">
        <v>320</v>
      </c>
      <c r="L135" s="8" t="s">
        <v>342</v>
      </c>
      <c r="M135" s="6">
        <f t="shared" si="5"/>
        <v>1</v>
      </c>
      <c r="O135" s="14" t="str">
        <f t="shared" si="3"/>
        <v>S</v>
      </c>
    </row>
    <row r="136" ht="15.75" customHeight="1">
      <c r="A136" s="1" t="s">
        <v>419</v>
      </c>
      <c r="B136" s="11" t="str">
        <f t="shared" si="1"/>
        <v>I</v>
      </c>
      <c r="C136" s="12"/>
      <c r="D136" s="4" t="s">
        <v>420</v>
      </c>
      <c r="E136" s="4">
        <v>2598.0</v>
      </c>
      <c r="F136" s="6" t="s">
        <v>64</v>
      </c>
      <c r="G136" s="6" t="s">
        <v>399</v>
      </c>
      <c r="H136" s="6" t="s">
        <v>53</v>
      </c>
      <c r="J136" s="8" t="s">
        <v>64</v>
      </c>
      <c r="K136" s="8" t="s">
        <v>400</v>
      </c>
      <c r="L136" s="8" t="s">
        <v>53</v>
      </c>
      <c r="M136" s="6">
        <f t="shared" si="5"/>
        <v>1</v>
      </c>
      <c r="O136" s="14" t="str">
        <f t="shared" si="3"/>
        <v>I</v>
      </c>
    </row>
    <row r="137" ht="15.75" customHeight="1">
      <c r="A137" s="1" t="s">
        <v>421</v>
      </c>
      <c r="B137" s="11" t="str">
        <f t="shared" si="1"/>
        <v>S</v>
      </c>
      <c r="C137" s="12"/>
      <c r="D137" s="4" t="s">
        <v>422</v>
      </c>
      <c r="E137" s="4">
        <v>5.0</v>
      </c>
      <c r="F137" s="6" t="s">
        <v>41</v>
      </c>
      <c r="G137" s="6" t="s">
        <v>159</v>
      </c>
      <c r="H137" s="6" t="s">
        <v>180</v>
      </c>
      <c r="J137" s="8" t="s">
        <v>41</v>
      </c>
      <c r="K137" s="8" t="s">
        <v>320</v>
      </c>
      <c r="L137" s="8" t="s">
        <v>423</v>
      </c>
      <c r="M137" s="6">
        <f t="shared" si="5"/>
        <v>1</v>
      </c>
      <c r="O137" s="14" t="str">
        <f t="shared" si="3"/>
        <v>S</v>
      </c>
    </row>
    <row r="138" ht="15.75" customHeight="1">
      <c r="A138" s="1" t="s">
        <v>424</v>
      </c>
      <c r="B138" s="11" t="str">
        <f t="shared" si="1"/>
        <v>S</v>
      </c>
      <c r="C138" s="12"/>
      <c r="D138" s="4" t="s">
        <v>425</v>
      </c>
      <c r="E138" s="4">
        <v>16012.0</v>
      </c>
      <c r="F138" s="6" t="s">
        <v>41</v>
      </c>
      <c r="G138" s="6" t="s">
        <v>159</v>
      </c>
      <c r="H138" s="6" t="s">
        <v>180</v>
      </c>
      <c r="J138" s="8" t="s">
        <v>41</v>
      </c>
      <c r="K138" s="8" t="s">
        <v>426</v>
      </c>
      <c r="L138" s="8" t="s">
        <v>119</v>
      </c>
      <c r="M138" s="6">
        <f t="shared" si="5"/>
        <v>1</v>
      </c>
      <c r="O138" s="14" t="str">
        <f t="shared" si="3"/>
        <v>S</v>
      </c>
    </row>
    <row r="139" ht="15.75" customHeight="1">
      <c r="A139" s="1" t="s">
        <v>427</v>
      </c>
      <c r="B139" s="11" t="str">
        <f t="shared" si="1"/>
        <v>S</v>
      </c>
      <c r="C139" s="12"/>
      <c r="D139" s="4" t="s">
        <v>428</v>
      </c>
      <c r="E139" s="4">
        <v>204.0</v>
      </c>
      <c r="F139" s="6" t="s">
        <v>41</v>
      </c>
      <c r="G139" s="6" t="s">
        <v>159</v>
      </c>
      <c r="H139" s="6" t="s">
        <v>180</v>
      </c>
      <c r="J139" s="8" t="s">
        <v>41</v>
      </c>
      <c r="K139" s="8" t="s">
        <v>426</v>
      </c>
      <c r="L139" s="8" t="s">
        <v>119</v>
      </c>
      <c r="M139" s="6">
        <f t="shared" si="5"/>
        <v>1</v>
      </c>
      <c r="O139" s="14" t="str">
        <f t="shared" si="3"/>
        <v>S</v>
      </c>
    </row>
    <row r="140" ht="15.75" customHeight="1">
      <c r="A140" s="1" t="s">
        <v>429</v>
      </c>
      <c r="B140" s="11" t="str">
        <f t="shared" si="1"/>
        <v>S</v>
      </c>
      <c r="C140" s="12"/>
      <c r="D140" s="4" t="s">
        <v>430</v>
      </c>
      <c r="E140" s="4">
        <v>11381.0</v>
      </c>
      <c r="F140" s="6" t="s">
        <v>41</v>
      </c>
      <c r="G140" s="6" t="s">
        <v>159</v>
      </c>
      <c r="H140" s="6" t="s">
        <v>180</v>
      </c>
      <c r="J140" s="8" t="s">
        <v>41</v>
      </c>
      <c r="K140" s="8" t="s">
        <v>272</v>
      </c>
      <c r="L140" s="8" t="s">
        <v>119</v>
      </c>
      <c r="M140" s="6">
        <f t="shared" si="5"/>
        <v>1</v>
      </c>
      <c r="O140" s="14" t="str">
        <f t="shared" si="3"/>
        <v>S</v>
      </c>
    </row>
    <row r="141" ht="15.75" customHeight="1">
      <c r="A141" s="1" t="s">
        <v>431</v>
      </c>
      <c r="B141" s="11" t="str">
        <f t="shared" si="1"/>
        <v>I</v>
      </c>
      <c r="C141" s="12"/>
      <c r="D141" s="4" t="s">
        <v>432</v>
      </c>
      <c r="E141" s="4">
        <v>11745.0</v>
      </c>
      <c r="F141" s="6" t="s">
        <v>64</v>
      </c>
      <c r="G141" s="6" t="s">
        <v>433</v>
      </c>
      <c r="H141" s="6" t="s">
        <v>53</v>
      </c>
      <c r="J141" s="8" t="s">
        <v>64</v>
      </c>
      <c r="K141" s="8" t="s">
        <v>434</v>
      </c>
      <c r="L141" s="8" t="s">
        <v>155</v>
      </c>
      <c r="M141" s="6">
        <f t="shared" si="5"/>
        <v>1</v>
      </c>
      <c r="O141" s="14" t="str">
        <f t="shared" si="3"/>
        <v>I</v>
      </c>
    </row>
    <row r="142" ht="15.75" customHeight="1">
      <c r="A142" s="1" t="s">
        <v>435</v>
      </c>
      <c r="B142" s="11" t="str">
        <f t="shared" si="1"/>
        <v>I</v>
      </c>
      <c r="C142" s="12"/>
      <c r="D142" s="4" t="s">
        <v>436</v>
      </c>
      <c r="E142" s="4">
        <v>53444.0</v>
      </c>
      <c r="F142" s="6" t="s">
        <v>64</v>
      </c>
      <c r="G142" s="6" t="s">
        <v>65</v>
      </c>
      <c r="H142" s="6" t="s">
        <v>53</v>
      </c>
      <c r="J142" s="8" t="s">
        <v>64</v>
      </c>
      <c r="K142" s="8" t="s">
        <v>65</v>
      </c>
      <c r="L142" s="8" t="s">
        <v>53</v>
      </c>
      <c r="M142" s="6">
        <f t="shared" si="5"/>
        <v>1</v>
      </c>
      <c r="O142" s="14" t="str">
        <f t="shared" si="3"/>
        <v>I</v>
      </c>
    </row>
    <row r="143" ht="15.75" customHeight="1">
      <c r="A143" s="1" t="s">
        <v>437</v>
      </c>
      <c r="B143" s="11" t="str">
        <f t="shared" si="1"/>
        <v>I</v>
      </c>
      <c r="C143" s="12"/>
      <c r="D143" s="4" t="s">
        <v>438</v>
      </c>
      <c r="E143" s="4">
        <v>12164.0</v>
      </c>
      <c r="F143" s="6" t="s">
        <v>64</v>
      </c>
      <c r="G143" s="6" t="s">
        <v>65</v>
      </c>
      <c r="H143" s="6" t="s">
        <v>180</v>
      </c>
      <c r="J143" s="8" t="s">
        <v>64</v>
      </c>
      <c r="K143" s="8" t="s">
        <v>65</v>
      </c>
      <c r="L143" s="8" t="s">
        <v>119</v>
      </c>
      <c r="M143" s="6">
        <f t="shared" si="5"/>
        <v>1</v>
      </c>
      <c r="O143" s="14" t="str">
        <f t="shared" si="3"/>
        <v>I</v>
      </c>
    </row>
    <row r="144" ht="15.75" customHeight="1">
      <c r="A144" s="1" t="s">
        <v>439</v>
      </c>
      <c r="B144" s="11" t="str">
        <f t="shared" si="1"/>
        <v>I</v>
      </c>
      <c r="C144" s="12"/>
      <c r="D144" s="4" t="s">
        <v>440</v>
      </c>
      <c r="E144" s="4">
        <v>14789.0</v>
      </c>
      <c r="F144" s="6" t="s">
        <v>64</v>
      </c>
      <c r="G144" s="6" t="s">
        <v>65</v>
      </c>
      <c r="H144" s="6" t="s">
        <v>53</v>
      </c>
      <c r="I144" s="6" t="s">
        <v>150</v>
      </c>
      <c r="J144" s="8" t="s">
        <v>64</v>
      </c>
      <c r="K144" s="8" t="s">
        <v>65</v>
      </c>
      <c r="L144" s="8" t="s">
        <v>242</v>
      </c>
      <c r="M144" s="6">
        <f t="shared" si="5"/>
        <v>1</v>
      </c>
      <c r="O144" s="14" t="str">
        <f t="shared" si="3"/>
        <v>I</v>
      </c>
    </row>
    <row r="145" ht="15.75" customHeight="1">
      <c r="A145" s="1" t="s">
        <v>441</v>
      </c>
      <c r="B145" s="11" t="str">
        <f t="shared" si="1"/>
        <v>I</v>
      </c>
      <c r="C145" s="12"/>
      <c r="D145" s="4" t="s">
        <v>442</v>
      </c>
      <c r="E145" s="4">
        <v>16224.0</v>
      </c>
      <c r="F145" s="6" t="s">
        <v>64</v>
      </c>
      <c r="G145" s="6" t="s">
        <v>443</v>
      </c>
      <c r="H145" s="6" t="s">
        <v>53</v>
      </c>
      <c r="J145" s="8" t="s">
        <v>64</v>
      </c>
      <c r="K145" s="8" t="s">
        <v>444</v>
      </c>
      <c r="L145" s="8" t="s">
        <v>242</v>
      </c>
      <c r="M145" s="6">
        <f t="shared" si="5"/>
        <v>1</v>
      </c>
      <c r="O145" s="14" t="str">
        <f t="shared" si="3"/>
        <v>I</v>
      </c>
    </row>
    <row r="146" ht="15.75" customHeight="1">
      <c r="A146" s="1" t="s">
        <v>445</v>
      </c>
      <c r="B146" s="11" t="str">
        <f t="shared" si="1"/>
        <v>I</v>
      </c>
      <c r="C146" s="12"/>
      <c r="D146" s="4" t="s">
        <v>446</v>
      </c>
      <c r="E146" s="4">
        <v>25980.0</v>
      </c>
      <c r="F146" s="6" t="s">
        <v>64</v>
      </c>
      <c r="G146" s="6" t="s">
        <v>65</v>
      </c>
      <c r="H146" s="6" t="s">
        <v>53</v>
      </c>
      <c r="J146" s="8" t="s">
        <v>64</v>
      </c>
      <c r="K146" s="8" t="s">
        <v>65</v>
      </c>
      <c r="L146" s="8" t="s">
        <v>447</v>
      </c>
      <c r="M146" s="6">
        <f t="shared" si="5"/>
        <v>1</v>
      </c>
      <c r="O146" s="14" t="str">
        <f t="shared" si="3"/>
        <v>I</v>
      </c>
    </row>
    <row r="147" ht="15.75" customHeight="1">
      <c r="A147" s="1" t="s">
        <v>448</v>
      </c>
      <c r="B147" s="11" t="str">
        <f t="shared" si="1"/>
        <v>I</v>
      </c>
      <c r="C147" s="12"/>
      <c r="D147" s="4" t="s">
        <v>449</v>
      </c>
      <c r="E147" s="4">
        <v>13498.0</v>
      </c>
      <c r="F147" s="6" t="s">
        <v>64</v>
      </c>
      <c r="G147" s="6" t="s">
        <v>65</v>
      </c>
      <c r="H147" s="6" t="s">
        <v>53</v>
      </c>
      <c r="I147" s="6" t="s">
        <v>150</v>
      </c>
      <c r="J147" s="8" t="s">
        <v>64</v>
      </c>
      <c r="K147" s="8" t="s">
        <v>65</v>
      </c>
      <c r="L147" s="8" t="s">
        <v>155</v>
      </c>
      <c r="M147" s="6">
        <f t="shared" si="5"/>
        <v>1</v>
      </c>
      <c r="O147" s="14" t="str">
        <f t="shared" si="3"/>
        <v>I</v>
      </c>
    </row>
    <row r="148" ht="15.75" customHeight="1">
      <c r="A148" s="1" t="s">
        <v>450</v>
      </c>
      <c r="B148" s="11" t="str">
        <f t="shared" si="1"/>
        <v>M</v>
      </c>
      <c r="C148" s="12"/>
      <c r="D148" s="4" t="s">
        <v>451</v>
      </c>
      <c r="E148" s="4">
        <v>16363.0</v>
      </c>
      <c r="F148" s="15" t="s">
        <v>51</v>
      </c>
      <c r="H148" s="6" t="s">
        <v>98</v>
      </c>
      <c r="J148" s="7" t="s">
        <v>41</v>
      </c>
      <c r="K148" s="8" t="s">
        <v>452</v>
      </c>
      <c r="L148" s="8" t="s">
        <v>28</v>
      </c>
      <c r="M148" s="6">
        <f t="shared" si="5"/>
        <v>0</v>
      </c>
      <c r="N148" s="9" t="s">
        <v>100</v>
      </c>
      <c r="O148" s="14" t="str">
        <f t="shared" si="3"/>
        <v>M</v>
      </c>
    </row>
    <row r="149" ht="15.75" customHeight="1">
      <c r="A149" s="1" t="s">
        <v>453</v>
      </c>
      <c r="B149" s="11" t="str">
        <f t="shared" si="1"/>
        <v>M</v>
      </c>
      <c r="C149" s="12"/>
      <c r="D149" s="4" t="s">
        <v>454</v>
      </c>
      <c r="E149" s="4">
        <v>14464.0</v>
      </c>
      <c r="F149" s="15" t="s">
        <v>51</v>
      </c>
      <c r="G149" s="6" t="s">
        <v>97</v>
      </c>
      <c r="H149" s="6" t="s">
        <v>98</v>
      </c>
      <c r="J149" s="7" t="s">
        <v>64</v>
      </c>
      <c r="K149" s="8" t="s">
        <v>455</v>
      </c>
      <c r="L149" s="8" t="s">
        <v>28</v>
      </c>
      <c r="M149" s="6">
        <f t="shared" si="5"/>
        <v>0</v>
      </c>
      <c r="N149" s="9" t="s">
        <v>100</v>
      </c>
      <c r="O149" s="14" t="str">
        <f t="shared" si="3"/>
        <v>M</v>
      </c>
    </row>
    <row r="150" ht="15.75" customHeight="1">
      <c r="A150" s="1" t="s">
        <v>456</v>
      </c>
      <c r="B150" s="11" t="str">
        <f t="shared" si="1"/>
        <v>M</v>
      </c>
      <c r="C150" s="12"/>
      <c r="D150" s="4" t="s">
        <v>457</v>
      </c>
      <c r="E150" s="4">
        <v>10026.0</v>
      </c>
      <c r="F150" s="15" t="s">
        <v>51</v>
      </c>
      <c r="G150" s="6" t="s">
        <v>97</v>
      </c>
      <c r="H150" s="6" t="s">
        <v>98</v>
      </c>
      <c r="J150" s="7" t="s">
        <v>41</v>
      </c>
      <c r="K150" s="8" t="s">
        <v>458</v>
      </c>
      <c r="L150" s="8" t="s">
        <v>274</v>
      </c>
      <c r="M150" s="6">
        <f t="shared" si="5"/>
        <v>0</v>
      </c>
      <c r="N150" s="9" t="s">
        <v>100</v>
      </c>
      <c r="O150" s="14" t="str">
        <f t="shared" si="3"/>
        <v>M</v>
      </c>
    </row>
    <row r="151" ht="15.75" customHeight="1">
      <c r="A151" s="1" t="s">
        <v>459</v>
      </c>
      <c r="B151" s="11" t="str">
        <f t="shared" si="1"/>
        <v>E</v>
      </c>
      <c r="C151" s="12"/>
      <c r="D151" s="4" t="s">
        <v>460</v>
      </c>
      <c r="E151" s="4">
        <v>7626.0</v>
      </c>
      <c r="F151" s="6" t="s">
        <v>15</v>
      </c>
      <c r="G151" s="6" t="s">
        <v>461</v>
      </c>
      <c r="H151" s="6" t="s">
        <v>17</v>
      </c>
      <c r="J151" s="8" t="s">
        <v>15</v>
      </c>
      <c r="K151" s="8" t="s">
        <v>462</v>
      </c>
      <c r="L151" s="8" t="s">
        <v>19</v>
      </c>
      <c r="M151" s="6">
        <f t="shared" si="5"/>
        <v>1</v>
      </c>
      <c r="O151" s="14" t="str">
        <f t="shared" si="3"/>
        <v>E</v>
      </c>
    </row>
    <row r="152" ht="15.75" customHeight="1">
      <c r="A152" s="1" t="s">
        <v>463</v>
      </c>
      <c r="B152" s="11" t="str">
        <f t="shared" si="1"/>
        <v>I</v>
      </c>
      <c r="C152" s="3" t="s">
        <v>464</v>
      </c>
      <c r="D152" s="4" t="s">
        <v>465</v>
      </c>
      <c r="E152" s="4">
        <v>11722.0</v>
      </c>
      <c r="F152" s="8" t="s">
        <v>64</v>
      </c>
      <c r="G152" s="8" t="s">
        <v>65</v>
      </c>
      <c r="H152" s="8" t="s">
        <v>53</v>
      </c>
      <c r="J152" s="8" t="s">
        <v>64</v>
      </c>
      <c r="K152" s="8" t="s">
        <v>65</v>
      </c>
      <c r="L152" s="8" t="s">
        <v>274</v>
      </c>
      <c r="M152" s="6">
        <f t="shared" si="5"/>
        <v>1</v>
      </c>
      <c r="O152" s="14" t="str">
        <f t="shared" si="3"/>
        <v>I</v>
      </c>
    </row>
    <row r="153" ht="15.75" customHeight="1">
      <c r="A153" s="1" t="s">
        <v>466</v>
      </c>
      <c r="B153" s="11" t="str">
        <f t="shared" si="1"/>
        <v>M</v>
      </c>
      <c r="C153" s="3" t="s">
        <v>467</v>
      </c>
      <c r="D153" s="4" t="s">
        <v>468</v>
      </c>
      <c r="E153" s="4">
        <v>24319.0</v>
      </c>
      <c r="F153" s="5" t="s">
        <v>51</v>
      </c>
      <c r="G153" s="8" t="s">
        <v>97</v>
      </c>
      <c r="H153" s="8" t="s">
        <v>298</v>
      </c>
      <c r="J153" s="7" t="s">
        <v>41</v>
      </c>
      <c r="L153" s="8" t="s">
        <v>274</v>
      </c>
      <c r="M153" s="6">
        <f t="shared" si="5"/>
        <v>0</v>
      </c>
      <c r="N153" s="9" t="s">
        <v>100</v>
      </c>
      <c r="O153" s="14" t="str">
        <f t="shared" si="3"/>
        <v>M</v>
      </c>
    </row>
    <row r="154" ht="15.75" customHeight="1">
      <c r="A154" s="1" t="s">
        <v>469</v>
      </c>
      <c r="B154" s="11" t="str">
        <f t="shared" si="1"/>
        <v>M</v>
      </c>
      <c r="C154" s="3" t="s">
        <v>470</v>
      </c>
      <c r="D154" s="4" t="s">
        <v>471</v>
      </c>
      <c r="E154" s="4">
        <v>44795.0</v>
      </c>
      <c r="F154" s="5" t="s">
        <v>51</v>
      </c>
      <c r="G154" s="8" t="s">
        <v>97</v>
      </c>
      <c r="H154" s="8" t="s">
        <v>298</v>
      </c>
      <c r="J154" s="7" t="s">
        <v>41</v>
      </c>
      <c r="L154" s="8" t="s">
        <v>274</v>
      </c>
      <c r="M154" s="6">
        <f t="shared" si="5"/>
        <v>0</v>
      </c>
      <c r="N154" s="9" t="s">
        <v>100</v>
      </c>
      <c r="O154" s="14" t="str">
        <f t="shared" si="3"/>
        <v>M</v>
      </c>
    </row>
    <row r="155" ht="15.75" customHeight="1">
      <c r="A155" s="1" t="s">
        <v>472</v>
      </c>
      <c r="B155" s="11" t="str">
        <f t="shared" si="1"/>
        <v>M</v>
      </c>
      <c r="C155" s="3" t="s">
        <v>473</v>
      </c>
      <c r="D155" s="4" t="s">
        <v>474</v>
      </c>
      <c r="E155" s="4">
        <v>10599.0</v>
      </c>
      <c r="F155" s="5" t="s">
        <v>51</v>
      </c>
      <c r="G155" s="8" t="s">
        <v>97</v>
      </c>
      <c r="H155" s="8" t="s">
        <v>298</v>
      </c>
      <c r="J155" s="7" t="s">
        <v>41</v>
      </c>
      <c r="L155" s="8" t="s">
        <v>274</v>
      </c>
      <c r="M155" s="6">
        <f t="shared" si="5"/>
        <v>0</v>
      </c>
      <c r="N155" s="9" t="s">
        <v>100</v>
      </c>
      <c r="O155" s="14" t="str">
        <f t="shared" si="3"/>
        <v>M</v>
      </c>
    </row>
    <row r="156" ht="15.75" customHeight="1">
      <c r="A156" s="26" t="s">
        <v>475</v>
      </c>
      <c r="B156" s="27" t="str">
        <f t="shared" ref="B156:B190" si="6">E156</f>
        <v>G</v>
      </c>
      <c r="D156" s="28" t="s">
        <v>476</v>
      </c>
      <c r="E156" s="8" t="s">
        <v>51</v>
      </c>
      <c r="F156" s="5"/>
      <c r="J156" s="29"/>
      <c r="N156" s="30"/>
      <c r="O156" s="14"/>
    </row>
    <row r="157" ht="15.75" customHeight="1">
      <c r="A157" s="26" t="s">
        <v>477</v>
      </c>
      <c r="B157" s="27" t="str">
        <f t="shared" si="6"/>
        <v>G</v>
      </c>
      <c r="D157" s="28" t="s">
        <v>478</v>
      </c>
      <c r="E157" s="8" t="s">
        <v>51</v>
      </c>
      <c r="F157" s="15"/>
      <c r="J157" s="29"/>
      <c r="N157" s="30"/>
      <c r="O157" s="14"/>
    </row>
    <row r="158" ht="15.75" customHeight="1">
      <c r="A158" s="26" t="s">
        <v>479</v>
      </c>
      <c r="B158" s="27" t="str">
        <f t="shared" si="6"/>
        <v>M</v>
      </c>
      <c r="D158" s="28" t="s">
        <v>480</v>
      </c>
      <c r="E158" s="8" t="s">
        <v>100</v>
      </c>
      <c r="F158" s="15"/>
      <c r="J158" s="29"/>
      <c r="N158" s="30"/>
      <c r="O158" s="14"/>
    </row>
    <row r="159" ht="15.75" customHeight="1">
      <c r="A159" s="26" t="s">
        <v>481</v>
      </c>
      <c r="B159" s="27" t="str">
        <f t="shared" si="6"/>
        <v>E</v>
      </c>
      <c r="D159" s="28" t="s">
        <v>482</v>
      </c>
      <c r="E159" s="8" t="s">
        <v>15</v>
      </c>
      <c r="F159" s="15"/>
      <c r="J159" s="29"/>
      <c r="N159" s="30"/>
      <c r="O159" s="14"/>
    </row>
    <row r="160" ht="15.75" customHeight="1">
      <c r="A160" s="26" t="s">
        <v>483</v>
      </c>
      <c r="B160" s="27" t="str">
        <f t="shared" si="6"/>
        <v>M</v>
      </c>
      <c r="D160" s="28" t="s">
        <v>484</v>
      </c>
      <c r="E160" s="8" t="s">
        <v>100</v>
      </c>
      <c r="F160" s="15"/>
      <c r="J160" s="29"/>
      <c r="N160" s="30"/>
      <c r="O160" s="14"/>
    </row>
    <row r="161" ht="15.75" customHeight="1">
      <c r="A161" s="26" t="s">
        <v>485</v>
      </c>
      <c r="B161" s="27" t="str">
        <f t="shared" si="6"/>
        <v>I</v>
      </c>
      <c r="D161" s="28" t="s">
        <v>486</v>
      </c>
      <c r="E161" s="8" t="s">
        <v>64</v>
      </c>
      <c r="F161" s="15"/>
      <c r="J161" s="29"/>
      <c r="N161" s="30"/>
      <c r="O161" s="14"/>
    </row>
    <row r="162" ht="15.75" customHeight="1">
      <c r="A162" s="26" t="s">
        <v>487</v>
      </c>
      <c r="B162" s="27" t="str">
        <f t="shared" si="6"/>
        <v>I</v>
      </c>
      <c r="D162" s="28" t="s">
        <v>488</v>
      </c>
      <c r="E162" s="8" t="s">
        <v>64</v>
      </c>
      <c r="F162" s="15"/>
      <c r="J162" s="29"/>
      <c r="N162" s="30"/>
      <c r="O162" s="14"/>
    </row>
    <row r="163" ht="15.75" customHeight="1">
      <c r="A163" s="26" t="s">
        <v>489</v>
      </c>
      <c r="B163" s="27" t="str">
        <f t="shared" si="6"/>
        <v>M</v>
      </c>
      <c r="D163" s="28" t="s">
        <v>490</v>
      </c>
      <c r="E163" s="8" t="s">
        <v>100</v>
      </c>
      <c r="F163" s="15"/>
      <c r="J163" s="29"/>
      <c r="N163" s="30"/>
      <c r="O163" s="14"/>
    </row>
    <row r="164" ht="15.75" customHeight="1">
      <c r="A164" s="26" t="s">
        <v>491</v>
      </c>
      <c r="B164" s="27" t="str">
        <f t="shared" si="6"/>
        <v>S</v>
      </c>
      <c r="D164" s="28" t="s">
        <v>492</v>
      </c>
      <c r="E164" s="8" t="s">
        <v>41</v>
      </c>
      <c r="F164" s="15"/>
      <c r="J164" s="29"/>
      <c r="N164" s="30"/>
      <c r="O164" s="14"/>
    </row>
    <row r="165" ht="15.75" customHeight="1">
      <c r="A165" s="26" t="s">
        <v>493</v>
      </c>
      <c r="B165" s="27" t="str">
        <f t="shared" si="6"/>
        <v>I</v>
      </c>
      <c r="D165" s="28" t="s">
        <v>494</v>
      </c>
      <c r="E165" s="8" t="s">
        <v>64</v>
      </c>
      <c r="F165" s="15"/>
      <c r="J165" s="29"/>
      <c r="N165" s="30"/>
      <c r="O165" s="14"/>
    </row>
    <row r="166" ht="15.75" customHeight="1">
      <c r="A166" s="26" t="s">
        <v>495</v>
      </c>
      <c r="B166" s="27" t="str">
        <f t="shared" si="6"/>
        <v>M</v>
      </c>
      <c r="D166" s="28" t="s">
        <v>496</v>
      </c>
      <c r="E166" s="8" t="s">
        <v>100</v>
      </c>
      <c r="F166" s="15"/>
      <c r="J166" s="29"/>
      <c r="N166" s="30"/>
      <c r="O166" s="14"/>
    </row>
    <row r="167" ht="15.75" customHeight="1">
      <c r="A167" s="26" t="s">
        <v>497</v>
      </c>
      <c r="B167" s="27" t="str">
        <f t="shared" si="6"/>
        <v>G</v>
      </c>
      <c r="D167" s="28" t="s">
        <v>498</v>
      </c>
      <c r="E167" s="8" t="s">
        <v>51</v>
      </c>
      <c r="F167" s="15"/>
      <c r="J167" s="29"/>
      <c r="N167" s="30"/>
      <c r="O167" s="14"/>
    </row>
    <row r="168" ht="15.75" customHeight="1">
      <c r="A168" s="26" t="s">
        <v>499</v>
      </c>
      <c r="B168" s="27" t="str">
        <f t="shared" si="6"/>
        <v>I</v>
      </c>
      <c r="D168" s="28" t="s">
        <v>500</v>
      </c>
      <c r="E168" s="8" t="s">
        <v>64</v>
      </c>
      <c r="F168" s="15"/>
      <c r="J168" s="29"/>
      <c r="N168" s="30"/>
      <c r="O168" s="14"/>
    </row>
    <row r="169" ht="15.75" customHeight="1">
      <c r="A169" s="26" t="s">
        <v>501</v>
      </c>
      <c r="B169" s="27" t="str">
        <f t="shared" si="6"/>
        <v>S</v>
      </c>
      <c r="D169" s="28" t="s">
        <v>502</v>
      </c>
      <c r="E169" s="8" t="s">
        <v>41</v>
      </c>
      <c r="F169" s="15"/>
      <c r="J169" s="29"/>
      <c r="N169" s="30"/>
      <c r="O169" s="14"/>
    </row>
    <row r="170" ht="15.75" customHeight="1">
      <c r="A170" s="31" t="s">
        <v>503</v>
      </c>
      <c r="B170" s="27" t="str">
        <f t="shared" si="6"/>
        <v>G</v>
      </c>
      <c r="D170" s="32" t="s">
        <v>504</v>
      </c>
      <c r="E170" s="8" t="s">
        <v>51</v>
      </c>
      <c r="F170" s="15"/>
      <c r="J170" s="29"/>
      <c r="N170" s="30"/>
      <c r="O170" s="14"/>
    </row>
    <row r="171" ht="15.75" customHeight="1">
      <c r="A171" s="33" t="s">
        <v>505</v>
      </c>
      <c r="B171" s="27" t="str">
        <f t="shared" si="6"/>
        <v>E</v>
      </c>
      <c r="D171" s="34" t="s">
        <v>506</v>
      </c>
      <c r="E171" s="8" t="s">
        <v>15</v>
      </c>
      <c r="F171" s="15"/>
      <c r="J171" s="29"/>
      <c r="N171" s="30"/>
      <c r="O171" s="14"/>
    </row>
    <row r="172" ht="15.75" customHeight="1">
      <c r="A172" s="35" t="s">
        <v>507</v>
      </c>
      <c r="B172" s="27" t="str">
        <f t="shared" si="6"/>
        <v>E</v>
      </c>
      <c r="D172" s="36" t="s">
        <v>508</v>
      </c>
      <c r="E172" s="8" t="s">
        <v>15</v>
      </c>
      <c r="F172" s="15"/>
      <c r="J172" s="29"/>
      <c r="N172" s="30"/>
      <c r="O172" s="14"/>
    </row>
    <row r="173" ht="15.75" customHeight="1">
      <c r="A173" s="35" t="s">
        <v>509</v>
      </c>
      <c r="B173" s="27" t="str">
        <f t="shared" si="6"/>
        <v>M</v>
      </c>
      <c r="D173" s="37" t="s">
        <v>510</v>
      </c>
      <c r="E173" s="8" t="s">
        <v>100</v>
      </c>
      <c r="F173" s="15"/>
      <c r="J173" s="29"/>
      <c r="N173" s="30"/>
      <c r="O173" s="14"/>
    </row>
    <row r="174" ht="15.75" customHeight="1">
      <c r="A174" s="35" t="s">
        <v>511</v>
      </c>
      <c r="B174" s="27" t="str">
        <f t="shared" si="6"/>
        <v>S</v>
      </c>
      <c r="D174" s="37" t="s">
        <v>512</v>
      </c>
      <c r="E174" s="8" t="s">
        <v>41</v>
      </c>
      <c r="F174" s="15"/>
      <c r="J174" s="29"/>
      <c r="N174" s="30"/>
      <c r="O174" s="14"/>
    </row>
    <row r="175" ht="15.75" customHeight="1">
      <c r="A175" s="35" t="s">
        <v>513</v>
      </c>
      <c r="B175" s="27" t="str">
        <f t="shared" si="6"/>
        <v>M</v>
      </c>
      <c r="D175" s="38">
        <v>44205.0</v>
      </c>
      <c r="E175" s="8" t="s">
        <v>100</v>
      </c>
      <c r="F175" s="15"/>
      <c r="J175" s="29"/>
      <c r="N175" s="30"/>
      <c r="O175" s="14"/>
    </row>
    <row r="176" ht="15.75" customHeight="1">
      <c r="A176" s="33" t="s">
        <v>514</v>
      </c>
      <c r="B176" s="27" t="str">
        <f t="shared" si="6"/>
        <v>M</v>
      </c>
      <c r="D176" s="37" t="s">
        <v>515</v>
      </c>
      <c r="E176" s="8" t="s">
        <v>100</v>
      </c>
      <c r="F176" s="15"/>
      <c r="J176" s="29"/>
      <c r="N176" s="30"/>
      <c r="O176" s="14"/>
    </row>
    <row r="177" ht="15.75" customHeight="1">
      <c r="A177" s="33" t="s">
        <v>516</v>
      </c>
      <c r="B177" s="27" t="str">
        <f t="shared" si="6"/>
        <v>M</v>
      </c>
      <c r="D177" s="37" t="s">
        <v>517</v>
      </c>
      <c r="E177" s="8" t="s">
        <v>100</v>
      </c>
      <c r="F177" s="15"/>
      <c r="J177" s="29"/>
      <c r="N177" s="30"/>
      <c r="O177" s="14"/>
    </row>
    <row r="178" ht="15.75" customHeight="1">
      <c r="A178" s="39" t="s">
        <v>518</v>
      </c>
      <c r="B178" s="27" t="str">
        <f t="shared" si="6"/>
        <v>M</v>
      </c>
      <c r="D178" s="40">
        <v>44253.0</v>
      </c>
      <c r="E178" s="8" t="s">
        <v>100</v>
      </c>
      <c r="F178" s="15"/>
      <c r="J178" s="29"/>
      <c r="N178" s="30"/>
      <c r="O178" s="14"/>
    </row>
    <row r="179" ht="15.75" customHeight="1">
      <c r="A179" s="33" t="s">
        <v>519</v>
      </c>
      <c r="B179" s="27" t="str">
        <f t="shared" si="6"/>
        <v>M</v>
      </c>
      <c r="D179" s="37" t="s">
        <v>520</v>
      </c>
      <c r="E179" s="8" t="s">
        <v>100</v>
      </c>
      <c r="F179" s="15"/>
      <c r="J179" s="29"/>
      <c r="N179" s="30"/>
      <c r="O179" s="14"/>
    </row>
    <row r="180" ht="15.75" customHeight="1">
      <c r="A180" s="41" t="s">
        <v>521</v>
      </c>
      <c r="B180" s="27" t="str">
        <f t="shared" si="6"/>
        <v>E</v>
      </c>
      <c r="D180" s="37" t="s">
        <v>141</v>
      </c>
      <c r="E180" s="8" t="s">
        <v>15</v>
      </c>
      <c r="F180" s="15"/>
      <c r="J180" s="29"/>
      <c r="N180" s="30"/>
      <c r="O180" s="14"/>
    </row>
    <row r="181" ht="15.75" customHeight="1">
      <c r="A181" s="35" t="s">
        <v>522</v>
      </c>
      <c r="B181" s="27" t="str">
        <f t="shared" si="6"/>
        <v>S</v>
      </c>
      <c r="D181" s="37" t="s">
        <v>523</v>
      </c>
      <c r="E181" s="8" t="s">
        <v>41</v>
      </c>
      <c r="F181" s="15"/>
      <c r="J181" s="29"/>
      <c r="N181" s="30"/>
      <c r="O181" s="14"/>
    </row>
    <row r="182" ht="15.75" customHeight="1">
      <c r="A182" s="35" t="s">
        <v>524</v>
      </c>
      <c r="B182" s="27" t="str">
        <f t="shared" si="6"/>
        <v>M</v>
      </c>
      <c r="D182" s="37" t="s">
        <v>525</v>
      </c>
      <c r="E182" s="8" t="s">
        <v>100</v>
      </c>
      <c r="F182" s="15"/>
      <c r="J182" s="29"/>
      <c r="N182" s="30"/>
      <c r="O182" s="14"/>
    </row>
    <row r="183" ht="15.75" customHeight="1">
      <c r="A183" s="33" t="s">
        <v>526</v>
      </c>
      <c r="B183" s="27" t="str">
        <f t="shared" si="6"/>
        <v>E</v>
      </c>
      <c r="D183" s="37" t="s">
        <v>527</v>
      </c>
      <c r="E183" s="8" t="s">
        <v>15</v>
      </c>
      <c r="F183" s="15"/>
      <c r="J183" s="29"/>
      <c r="N183" s="30"/>
      <c r="O183" s="14"/>
    </row>
    <row r="184" ht="15.75" customHeight="1">
      <c r="A184" s="33" t="s">
        <v>528</v>
      </c>
      <c r="B184" s="27" t="str">
        <f t="shared" si="6"/>
        <v>I</v>
      </c>
      <c r="D184" s="37" t="s">
        <v>529</v>
      </c>
      <c r="E184" s="8" t="s">
        <v>64</v>
      </c>
      <c r="F184" s="15"/>
      <c r="J184" s="29"/>
      <c r="N184" s="30"/>
      <c r="O184" s="14"/>
    </row>
    <row r="185" ht="15.75" customHeight="1">
      <c r="A185" s="33" t="s">
        <v>530</v>
      </c>
      <c r="B185" s="27" t="str">
        <f t="shared" si="6"/>
        <v>I</v>
      </c>
      <c r="D185" s="37" t="s">
        <v>531</v>
      </c>
      <c r="E185" s="8" t="s">
        <v>64</v>
      </c>
      <c r="F185" s="15"/>
      <c r="J185" s="29"/>
      <c r="N185" s="30"/>
      <c r="O185" s="14"/>
    </row>
    <row r="186" ht="15.75" customHeight="1">
      <c r="A186" s="35" t="s">
        <v>532</v>
      </c>
      <c r="B186" s="27" t="str">
        <f t="shared" si="6"/>
        <v>M</v>
      </c>
      <c r="D186" s="37" t="s">
        <v>533</v>
      </c>
      <c r="E186" s="8" t="s">
        <v>100</v>
      </c>
      <c r="F186" s="15"/>
      <c r="J186" s="29"/>
      <c r="N186" s="30"/>
      <c r="O186" s="14"/>
    </row>
    <row r="187" ht="15.75" customHeight="1">
      <c r="A187" s="33" t="s">
        <v>534</v>
      </c>
      <c r="B187" s="27" t="str">
        <f t="shared" si="6"/>
        <v>G</v>
      </c>
      <c r="D187" s="37" t="s">
        <v>535</v>
      </c>
      <c r="E187" s="8" t="s">
        <v>51</v>
      </c>
      <c r="F187" s="15"/>
      <c r="J187" s="29"/>
      <c r="N187" s="30"/>
      <c r="O187" s="14"/>
    </row>
    <row r="188" ht="15.75" customHeight="1">
      <c r="A188" s="35" t="s">
        <v>536</v>
      </c>
      <c r="B188" s="27" t="str">
        <f t="shared" si="6"/>
        <v>M</v>
      </c>
      <c r="D188" s="37" t="s">
        <v>537</v>
      </c>
      <c r="E188" s="8" t="s">
        <v>100</v>
      </c>
      <c r="F188" s="15"/>
      <c r="J188" s="29"/>
      <c r="N188" s="30"/>
      <c r="O188" s="14"/>
    </row>
    <row r="189" ht="15.75" customHeight="1">
      <c r="A189" s="35" t="s">
        <v>538</v>
      </c>
      <c r="B189" s="27" t="str">
        <f t="shared" si="6"/>
        <v>E</v>
      </c>
      <c r="D189" s="37" t="s">
        <v>539</v>
      </c>
      <c r="E189" s="8" t="s">
        <v>15</v>
      </c>
      <c r="F189" s="15"/>
      <c r="J189" s="29"/>
      <c r="N189" s="30"/>
      <c r="O189" s="14"/>
    </row>
    <row r="190" ht="15.75" customHeight="1">
      <c r="A190" s="42" t="s">
        <v>540</v>
      </c>
      <c r="B190" s="27" t="str">
        <f t="shared" si="6"/>
        <v>M</v>
      </c>
      <c r="D190" s="43" t="s">
        <v>541</v>
      </c>
      <c r="E190" s="8" t="s">
        <v>100</v>
      </c>
      <c r="F190" s="15"/>
      <c r="J190" s="29"/>
      <c r="N190" s="30"/>
      <c r="O190" s="14"/>
    </row>
    <row r="191" ht="15.75" customHeight="1">
      <c r="A191" s="1"/>
      <c r="B191" s="44"/>
      <c r="D191" s="44"/>
      <c r="F191" s="15"/>
      <c r="J191" s="29"/>
      <c r="N191" s="30"/>
      <c r="O191" s="14"/>
    </row>
    <row r="192" ht="15.75" customHeight="1">
      <c r="A192" s="1"/>
      <c r="B192" s="44"/>
      <c r="D192" s="44"/>
      <c r="F192" s="15"/>
      <c r="J192" s="29"/>
      <c r="N192" s="30"/>
      <c r="O192" s="14"/>
    </row>
    <row r="193" ht="15.75" customHeight="1">
      <c r="A193" s="31" t="s">
        <v>356</v>
      </c>
      <c r="B193" s="32"/>
      <c r="D193" s="28" t="s">
        <v>542</v>
      </c>
      <c r="F193" s="15"/>
      <c r="J193" s="29"/>
      <c r="N193" s="30"/>
      <c r="O193" s="14"/>
    </row>
    <row r="194" ht="15.75" customHeight="1">
      <c r="A194" s="26" t="s">
        <v>543</v>
      </c>
      <c r="B194" s="28"/>
      <c r="D194" s="28" t="s">
        <v>544</v>
      </c>
      <c r="F194" s="15"/>
      <c r="J194" s="29"/>
      <c r="N194" s="30"/>
      <c r="O194" s="14"/>
    </row>
    <row r="195" ht="15.75" customHeight="1">
      <c r="A195" s="26" t="s">
        <v>545</v>
      </c>
      <c r="B195" s="28"/>
      <c r="D195" s="28" t="s">
        <v>546</v>
      </c>
      <c r="F195" s="15"/>
      <c r="J195" s="29"/>
      <c r="N195" s="30"/>
      <c r="O195" s="14"/>
    </row>
    <row r="196" ht="15.75" customHeight="1">
      <c r="A196" s="26" t="s">
        <v>547</v>
      </c>
      <c r="B196" s="28"/>
      <c r="D196" s="28" t="s">
        <v>548</v>
      </c>
      <c r="F196" s="15"/>
      <c r="J196" s="29"/>
      <c r="N196" s="30"/>
      <c r="O196" s="14"/>
    </row>
    <row r="197" ht="15.75" customHeight="1">
      <c r="A197" s="26" t="s">
        <v>549</v>
      </c>
      <c r="B197" s="28"/>
      <c r="D197" s="28" t="s">
        <v>550</v>
      </c>
      <c r="F197" s="15"/>
      <c r="J197" s="29"/>
      <c r="N197" s="30"/>
      <c r="O197" s="14"/>
    </row>
    <row r="198" ht="15.75" customHeight="1">
      <c r="A198" s="26" t="s">
        <v>551</v>
      </c>
      <c r="B198" s="28"/>
      <c r="D198" s="28" t="s">
        <v>552</v>
      </c>
      <c r="F198" s="15"/>
      <c r="J198" s="29"/>
      <c r="N198" s="30"/>
      <c r="O198" s="14"/>
    </row>
    <row r="199" ht="15.75" customHeight="1">
      <c r="A199" s="26" t="s">
        <v>553</v>
      </c>
      <c r="B199" s="28"/>
      <c r="D199" s="28" t="s">
        <v>554</v>
      </c>
      <c r="F199" s="15"/>
      <c r="J199" s="29"/>
      <c r="N199" s="30"/>
      <c r="O199" s="14"/>
    </row>
    <row r="200" ht="15.75" customHeight="1">
      <c r="A200" s="26" t="s">
        <v>555</v>
      </c>
      <c r="B200" s="28"/>
      <c r="D200" s="28" t="s">
        <v>556</v>
      </c>
      <c r="F200" s="15"/>
      <c r="J200" s="29"/>
      <c r="N200" s="30"/>
      <c r="O200" s="14"/>
    </row>
    <row r="201" ht="15.75" customHeight="1">
      <c r="A201" s="26" t="s">
        <v>557</v>
      </c>
      <c r="B201" s="28"/>
      <c r="D201" s="28" t="s">
        <v>558</v>
      </c>
      <c r="F201" s="15"/>
      <c r="J201" s="29"/>
      <c r="N201" s="30"/>
      <c r="O201" s="14"/>
    </row>
    <row r="202" ht="15.75" customHeight="1">
      <c r="A202" s="26" t="s">
        <v>559</v>
      </c>
      <c r="B202" s="28"/>
      <c r="D202" s="28" t="s">
        <v>560</v>
      </c>
      <c r="F202" s="15"/>
      <c r="J202" s="29"/>
      <c r="N202" s="30"/>
      <c r="O202" s="14"/>
    </row>
    <row r="203" ht="15.75" customHeight="1">
      <c r="A203" s="26" t="s">
        <v>561</v>
      </c>
      <c r="B203" s="28"/>
      <c r="D203" s="28" t="s">
        <v>562</v>
      </c>
      <c r="F203" s="15"/>
      <c r="J203" s="29"/>
      <c r="N203" s="30"/>
      <c r="O203" s="14"/>
    </row>
    <row r="204" ht="15.75" customHeight="1">
      <c r="A204" s="26" t="s">
        <v>563</v>
      </c>
      <c r="B204" s="28"/>
      <c r="D204" s="28" t="s">
        <v>564</v>
      </c>
      <c r="F204" s="15"/>
      <c r="J204" s="29"/>
      <c r="N204" s="30"/>
      <c r="O204" s="14"/>
    </row>
    <row r="205" ht="15.75" customHeight="1">
      <c r="A205" s="26" t="s">
        <v>565</v>
      </c>
      <c r="B205" s="28"/>
      <c r="D205" s="28" t="s">
        <v>566</v>
      </c>
      <c r="F205" s="15"/>
      <c r="J205" s="29"/>
      <c r="N205" s="30"/>
      <c r="O205" s="14"/>
    </row>
    <row r="206" ht="15.75" customHeight="1">
      <c r="A206" s="26" t="s">
        <v>567</v>
      </c>
      <c r="B206" s="28"/>
      <c r="D206" s="28" t="s">
        <v>568</v>
      </c>
      <c r="F206" s="15"/>
      <c r="J206" s="29"/>
      <c r="N206" s="30"/>
      <c r="O206" s="14"/>
    </row>
    <row r="207" ht="15.75" customHeight="1">
      <c r="A207" s="26" t="s">
        <v>569</v>
      </c>
      <c r="B207" s="28"/>
      <c r="D207" s="28" t="s">
        <v>570</v>
      </c>
      <c r="F207" s="15"/>
      <c r="J207" s="29"/>
      <c r="N207" s="30"/>
      <c r="O207" s="14"/>
    </row>
    <row r="208" ht="15.75" customHeight="1">
      <c r="A208" s="26" t="s">
        <v>571</v>
      </c>
      <c r="B208" s="28"/>
      <c r="D208" s="28" t="s">
        <v>572</v>
      </c>
      <c r="F208" s="15"/>
      <c r="J208" s="29"/>
      <c r="N208" s="30"/>
      <c r="O208" s="14"/>
    </row>
    <row r="209" ht="15.75" customHeight="1">
      <c r="A209" s="26" t="s">
        <v>573</v>
      </c>
      <c r="B209" s="28"/>
      <c r="D209" s="28" t="s">
        <v>574</v>
      </c>
      <c r="F209" s="15"/>
      <c r="J209" s="29"/>
      <c r="N209" s="30"/>
      <c r="O209" s="14"/>
    </row>
    <row r="210" ht="15.75" customHeight="1">
      <c r="A210" s="26" t="s">
        <v>575</v>
      </c>
      <c r="B210" s="28"/>
      <c r="D210" s="28" t="s">
        <v>576</v>
      </c>
      <c r="F210" s="15"/>
      <c r="J210" s="29"/>
      <c r="N210" s="30"/>
      <c r="O210" s="14"/>
    </row>
    <row r="211" ht="15.75" customHeight="1">
      <c r="A211" s="26" t="s">
        <v>577</v>
      </c>
      <c r="B211" s="28"/>
      <c r="D211" s="28" t="s">
        <v>578</v>
      </c>
      <c r="F211" s="15"/>
      <c r="J211" s="29"/>
      <c r="N211" s="30"/>
      <c r="O211" s="14"/>
    </row>
    <row r="212" ht="15.75" customHeight="1">
      <c r="A212" s="26" t="s">
        <v>579</v>
      </c>
      <c r="B212" s="28"/>
      <c r="D212" s="28" t="s">
        <v>580</v>
      </c>
      <c r="F212" s="15"/>
      <c r="J212" s="29"/>
      <c r="N212" s="30"/>
      <c r="O212" s="14"/>
    </row>
    <row r="213" ht="15.75" customHeight="1">
      <c r="A213" s="1"/>
      <c r="B213" s="44"/>
      <c r="C213" s="44"/>
      <c r="F213" s="15"/>
      <c r="J213" s="29"/>
      <c r="N213" s="30"/>
      <c r="O213" s="14"/>
    </row>
    <row r="214" ht="15.75" customHeight="1">
      <c r="A214" s="1"/>
      <c r="B214" s="44"/>
      <c r="C214" s="44"/>
      <c r="F214" s="15"/>
      <c r="J214" s="29"/>
      <c r="N214" s="30"/>
      <c r="O214" s="14"/>
    </row>
    <row r="215" ht="15.75" customHeight="1">
      <c r="A215" s="1"/>
      <c r="B215" s="44"/>
      <c r="C215" s="44"/>
      <c r="F215" s="15"/>
      <c r="J215" s="29"/>
      <c r="N215" s="30"/>
      <c r="O215" s="14"/>
    </row>
    <row r="216" ht="15.75" customHeight="1">
      <c r="A216" s="1"/>
      <c r="B216" s="44"/>
      <c r="C216" s="44"/>
      <c r="F216" s="15"/>
      <c r="J216" s="29"/>
      <c r="N216" s="30"/>
      <c r="O216" s="14"/>
    </row>
    <row r="217" ht="15.75" customHeight="1">
      <c r="A217" s="1"/>
      <c r="B217" s="44"/>
      <c r="C217" s="44"/>
      <c r="F217" s="15"/>
      <c r="J217" s="29"/>
      <c r="N217" s="30"/>
      <c r="O217" s="14"/>
    </row>
    <row r="218" ht="15.75" customHeight="1">
      <c r="A218" s="1"/>
      <c r="B218" s="44"/>
      <c r="C218" s="44"/>
      <c r="F218" s="15"/>
      <c r="J218" s="29"/>
      <c r="N218" s="30"/>
      <c r="O218" s="14"/>
    </row>
    <row r="219" ht="15.75" customHeight="1">
      <c r="A219" s="1"/>
      <c r="B219" s="44"/>
      <c r="C219" s="44"/>
      <c r="F219" s="15"/>
      <c r="J219" s="29"/>
      <c r="N219" s="30"/>
      <c r="O219" s="14"/>
    </row>
    <row r="220" ht="15.75" customHeight="1">
      <c r="A220" s="1"/>
      <c r="B220" s="44"/>
      <c r="C220" s="44"/>
      <c r="F220" s="15"/>
      <c r="J220" s="29"/>
      <c r="N220" s="30"/>
      <c r="O220" s="14"/>
    </row>
    <row r="221" ht="15.75" customHeight="1">
      <c r="A221" s="1"/>
      <c r="B221" s="44"/>
      <c r="C221" s="44"/>
      <c r="F221" s="15"/>
      <c r="J221" s="29"/>
      <c r="N221" s="30"/>
      <c r="O221" s="14"/>
    </row>
    <row r="222" ht="15.75" customHeight="1">
      <c r="A222" s="1"/>
      <c r="B222" s="44"/>
      <c r="C222" s="44"/>
      <c r="F222" s="15"/>
      <c r="J222" s="29"/>
      <c r="N222" s="30"/>
      <c r="O222" s="14"/>
    </row>
    <row r="223" ht="15.75" customHeight="1">
      <c r="A223" s="1"/>
      <c r="B223" s="44"/>
      <c r="C223" s="44"/>
      <c r="F223" s="15"/>
      <c r="J223" s="29"/>
      <c r="N223" s="30"/>
      <c r="O223" s="14"/>
    </row>
    <row r="224" ht="15.75" customHeight="1">
      <c r="A224" s="1"/>
      <c r="B224" s="44"/>
      <c r="C224" s="44"/>
      <c r="F224" s="15"/>
      <c r="J224" s="29"/>
      <c r="N224" s="30"/>
      <c r="O224" s="14"/>
    </row>
    <row r="225" ht="15.75" customHeight="1">
      <c r="A225" s="1"/>
      <c r="B225" s="44"/>
      <c r="C225" s="44"/>
      <c r="F225" s="15"/>
      <c r="J225" s="29"/>
      <c r="N225" s="30"/>
      <c r="O225" s="14"/>
    </row>
    <row r="226" ht="15.75" customHeight="1">
      <c r="A226" s="1"/>
      <c r="B226" s="44"/>
      <c r="C226" s="44"/>
      <c r="F226" s="15"/>
      <c r="J226" s="29"/>
      <c r="N226" s="30"/>
      <c r="O226" s="14"/>
    </row>
    <row r="227" ht="15.75" customHeight="1">
      <c r="A227" s="1"/>
      <c r="B227" s="44"/>
      <c r="C227" s="44"/>
      <c r="F227" s="15"/>
      <c r="J227" s="29"/>
      <c r="N227" s="30"/>
      <c r="O227" s="14"/>
    </row>
    <row r="228" ht="15.75" customHeight="1">
      <c r="A228" s="1"/>
      <c r="B228" s="44"/>
      <c r="C228" s="44"/>
      <c r="F228" s="15"/>
      <c r="J228" s="29"/>
      <c r="N228" s="30"/>
      <c r="O228" s="14"/>
    </row>
    <row r="229" ht="15.75" customHeight="1">
      <c r="A229" s="1"/>
      <c r="B229" s="44"/>
      <c r="C229" s="44"/>
      <c r="F229" s="15"/>
      <c r="J229" s="29"/>
      <c r="N229" s="30"/>
      <c r="O229" s="14"/>
    </row>
    <row r="230" ht="15.75" customHeight="1">
      <c r="A230" s="1"/>
      <c r="B230" s="44"/>
      <c r="C230" s="44"/>
      <c r="F230" s="15"/>
      <c r="J230" s="29"/>
      <c r="N230" s="30"/>
      <c r="O230" s="14"/>
    </row>
    <row r="231" ht="15.75" customHeight="1">
      <c r="A231" s="1"/>
      <c r="B231" s="44"/>
      <c r="C231" s="44"/>
      <c r="F231" s="15"/>
      <c r="J231" s="29"/>
      <c r="N231" s="30"/>
      <c r="O231" s="14"/>
    </row>
    <row r="232" ht="15.75" customHeight="1">
      <c r="A232" s="1"/>
      <c r="B232" s="44"/>
      <c r="C232" s="44"/>
      <c r="F232" s="15"/>
      <c r="J232" s="29"/>
      <c r="N232" s="30"/>
      <c r="O232" s="14"/>
    </row>
    <row r="233" ht="15.75" customHeight="1">
      <c r="A233" s="1"/>
      <c r="B233" s="44"/>
      <c r="C233" s="44"/>
      <c r="F233" s="15"/>
      <c r="J233" s="29"/>
      <c r="N233" s="30"/>
      <c r="O233" s="14"/>
    </row>
    <row r="234" ht="15.75" customHeight="1">
      <c r="A234" s="1"/>
      <c r="B234" s="44"/>
      <c r="C234" s="44"/>
      <c r="F234" s="15"/>
      <c r="J234" s="29"/>
      <c r="N234" s="30"/>
      <c r="O234" s="14"/>
    </row>
    <row r="235" ht="15.75" customHeight="1">
      <c r="A235" s="1"/>
      <c r="B235" s="44"/>
      <c r="C235" s="44"/>
      <c r="F235" s="15"/>
      <c r="J235" s="29"/>
      <c r="N235" s="30"/>
      <c r="O235" s="14"/>
    </row>
    <row r="236" ht="15.75" customHeight="1">
      <c r="A236" s="1"/>
      <c r="B236" s="44"/>
      <c r="C236" s="44"/>
      <c r="F236" s="15"/>
      <c r="J236" s="29"/>
      <c r="N236" s="30"/>
      <c r="O236" s="14"/>
    </row>
    <row r="237" ht="15.75" customHeight="1">
      <c r="A237" s="1"/>
      <c r="B237" s="44"/>
      <c r="C237" s="44"/>
      <c r="F237" s="15"/>
      <c r="J237" s="29"/>
      <c r="N237" s="30"/>
      <c r="O237" s="14"/>
    </row>
    <row r="238" ht="15.75" customHeight="1">
      <c r="A238" s="1"/>
      <c r="B238" s="44"/>
      <c r="C238" s="44"/>
      <c r="F238" s="15"/>
      <c r="J238" s="29"/>
      <c r="N238" s="30"/>
      <c r="O238" s="14"/>
    </row>
    <row r="239" ht="15.75" customHeight="1">
      <c r="A239" s="1"/>
      <c r="B239" s="44"/>
      <c r="C239" s="44"/>
      <c r="F239" s="15"/>
      <c r="J239" s="29"/>
      <c r="N239" s="30"/>
      <c r="O239" s="14"/>
    </row>
    <row r="240" ht="15.75" customHeight="1">
      <c r="A240" s="1"/>
      <c r="B240" s="44"/>
      <c r="C240" s="44"/>
      <c r="F240" s="15"/>
      <c r="J240" s="29"/>
      <c r="N240" s="30"/>
      <c r="O240" s="14"/>
    </row>
    <row r="241" ht="15.75" customHeight="1">
      <c r="A241" s="1"/>
      <c r="B241" s="44"/>
      <c r="C241" s="44"/>
      <c r="F241" s="15"/>
      <c r="J241" s="29"/>
      <c r="N241" s="30"/>
      <c r="O241" s="14"/>
    </row>
    <row r="242" ht="15.75" customHeight="1">
      <c r="A242" s="1"/>
      <c r="B242" s="44"/>
      <c r="C242" s="44"/>
      <c r="F242" s="15"/>
      <c r="J242" s="29"/>
      <c r="N242" s="30"/>
      <c r="O242" s="14"/>
    </row>
    <row r="243" ht="15.75" customHeight="1">
      <c r="A243" s="1"/>
      <c r="B243" s="44"/>
      <c r="C243" s="44"/>
      <c r="F243" s="15"/>
      <c r="J243" s="29"/>
      <c r="N243" s="30"/>
      <c r="O243" s="14"/>
    </row>
    <row r="244" ht="15.75" customHeight="1">
      <c r="A244" s="1"/>
      <c r="B244" s="44"/>
      <c r="C244" s="44"/>
      <c r="F244" s="15"/>
      <c r="J244" s="29"/>
      <c r="N244" s="30"/>
      <c r="O244" s="14"/>
    </row>
    <row r="245" ht="15.75" customHeight="1">
      <c r="A245" s="1"/>
      <c r="B245" s="44"/>
      <c r="C245" s="44"/>
      <c r="F245" s="15"/>
      <c r="J245" s="29"/>
      <c r="N245" s="30"/>
      <c r="O245" s="14"/>
    </row>
    <row r="246" ht="15.75" customHeight="1">
      <c r="A246" s="1"/>
      <c r="B246" s="44"/>
      <c r="C246" s="44"/>
      <c r="F246" s="15"/>
      <c r="J246" s="29"/>
      <c r="N246" s="30"/>
      <c r="O246" s="14"/>
    </row>
    <row r="247" ht="15.75" customHeight="1">
      <c r="A247" s="1"/>
      <c r="B247" s="44"/>
      <c r="C247" s="44"/>
      <c r="F247" s="15"/>
      <c r="J247" s="29"/>
      <c r="N247" s="30"/>
      <c r="O247" s="14"/>
    </row>
    <row r="248" ht="15.75" customHeight="1">
      <c r="A248" s="1"/>
      <c r="B248" s="44"/>
      <c r="C248" s="44"/>
      <c r="F248" s="15"/>
      <c r="J248" s="29"/>
      <c r="N248" s="30"/>
      <c r="O248" s="14"/>
    </row>
    <row r="249" ht="15.75" customHeight="1">
      <c r="A249" s="1"/>
      <c r="B249" s="44"/>
      <c r="C249" s="44"/>
      <c r="F249" s="15"/>
      <c r="J249" s="29"/>
      <c r="N249" s="30"/>
      <c r="O249" s="14"/>
    </row>
    <row r="250" ht="15.75" customHeight="1">
      <c r="A250" s="1"/>
      <c r="B250" s="44"/>
      <c r="C250" s="44"/>
      <c r="F250" s="15"/>
      <c r="J250" s="29"/>
      <c r="N250" s="30"/>
      <c r="O250" s="14"/>
    </row>
    <row r="251" ht="15.75" customHeight="1">
      <c r="A251" s="1"/>
      <c r="B251" s="44"/>
      <c r="C251" s="44"/>
      <c r="F251" s="15"/>
      <c r="J251" s="29"/>
      <c r="N251" s="30"/>
      <c r="O251" s="14"/>
    </row>
    <row r="252" ht="15.75" customHeight="1">
      <c r="A252" s="1"/>
      <c r="B252" s="44"/>
      <c r="C252" s="44"/>
      <c r="F252" s="15"/>
      <c r="J252" s="29"/>
      <c r="N252" s="30"/>
      <c r="O252" s="14"/>
    </row>
    <row r="253" ht="15.75" customHeight="1">
      <c r="A253" s="1"/>
      <c r="B253" s="44"/>
      <c r="C253" s="44"/>
      <c r="F253" s="15"/>
      <c r="J253" s="29"/>
      <c r="N253" s="30"/>
      <c r="O253" s="14"/>
    </row>
    <row r="254" ht="15.75" customHeight="1">
      <c r="A254" s="1"/>
      <c r="B254" s="44"/>
      <c r="C254" s="44"/>
      <c r="F254" s="15"/>
      <c r="J254" s="29"/>
      <c r="N254" s="30"/>
      <c r="O254" s="14"/>
    </row>
    <row r="255" ht="15.75" customHeight="1">
      <c r="A255" s="1"/>
      <c r="B255" s="44"/>
      <c r="C255" s="44"/>
      <c r="F255" s="15"/>
      <c r="J255" s="29"/>
      <c r="N255" s="30"/>
      <c r="O255" s="14"/>
    </row>
    <row r="256" ht="15.75" customHeight="1">
      <c r="A256" s="1"/>
      <c r="B256" s="44"/>
      <c r="C256" s="44"/>
      <c r="F256" s="15"/>
      <c r="J256" s="29"/>
      <c r="N256" s="30"/>
      <c r="O256" s="14"/>
    </row>
    <row r="257" ht="15.75" customHeight="1">
      <c r="A257" s="1"/>
      <c r="B257" s="44"/>
      <c r="C257" s="44"/>
      <c r="F257" s="15"/>
      <c r="J257" s="29"/>
      <c r="N257" s="30"/>
      <c r="O257" s="14"/>
    </row>
    <row r="258" ht="15.75" customHeight="1">
      <c r="A258" s="1"/>
      <c r="B258" s="44"/>
      <c r="C258" s="44"/>
      <c r="F258" s="15"/>
      <c r="J258" s="29"/>
      <c r="N258" s="30"/>
      <c r="O258" s="14"/>
    </row>
    <row r="259" ht="15.75" customHeight="1">
      <c r="A259" s="1"/>
      <c r="B259" s="44"/>
      <c r="C259" s="44"/>
      <c r="F259" s="15"/>
      <c r="J259" s="29"/>
      <c r="N259" s="30"/>
      <c r="O259" s="14"/>
    </row>
    <row r="260" ht="15.75" customHeight="1">
      <c r="A260" s="1"/>
      <c r="B260" s="44"/>
      <c r="C260" s="44"/>
      <c r="F260" s="15"/>
      <c r="J260" s="29"/>
      <c r="N260" s="30"/>
      <c r="O260" s="14"/>
    </row>
    <row r="261" ht="15.75" customHeight="1">
      <c r="A261" s="1"/>
      <c r="B261" s="44"/>
      <c r="C261" s="44"/>
      <c r="F261" s="15"/>
      <c r="J261" s="29"/>
      <c r="N261" s="30"/>
      <c r="O261" s="14"/>
    </row>
    <row r="262" ht="15.75" customHeight="1">
      <c r="A262" s="1"/>
      <c r="B262" s="44"/>
      <c r="C262" s="44"/>
      <c r="F262" s="15"/>
      <c r="J262" s="29"/>
      <c r="N262" s="30"/>
      <c r="O262" s="14"/>
    </row>
    <row r="263" ht="15.75" customHeight="1">
      <c r="A263" s="1"/>
      <c r="B263" s="44"/>
      <c r="C263" s="44"/>
      <c r="F263" s="15"/>
      <c r="J263" s="29"/>
      <c r="N263" s="30"/>
      <c r="O263" s="14"/>
    </row>
    <row r="264" ht="15.75" customHeight="1">
      <c r="A264" s="1"/>
      <c r="B264" s="44"/>
      <c r="C264" s="44"/>
      <c r="F264" s="15"/>
      <c r="J264" s="29"/>
      <c r="N264" s="30"/>
      <c r="O264" s="14"/>
    </row>
    <row r="265" ht="15.75" customHeight="1">
      <c r="A265" s="1"/>
      <c r="B265" s="44"/>
      <c r="C265" s="44"/>
      <c r="F265" s="15"/>
      <c r="J265" s="29"/>
      <c r="N265" s="30"/>
      <c r="O265" s="14"/>
    </row>
    <row r="266" ht="15.75" customHeight="1">
      <c r="A266" s="1"/>
      <c r="B266" s="44"/>
      <c r="C266" s="44"/>
      <c r="F266" s="15"/>
      <c r="J266" s="29"/>
      <c r="N266" s="30"/>
      <c r="O266" s="14"/>
    </row>
    <row r="267" ht="15.75" customHeight="1">
      <c r="A267" s="1"/>
      <c r="B267" s="44"/>
      <c r="C267" s="44"/>
      <c r="F267" s="15"/>
      <c r="J267" s="29"/>
      <c r="N267" s="30"/>
      <c r="O267" s="14"/>
    </row>
    <row r="268" ht="15.75" customHeight="1">
      <c r="A268" s="1"/>
      <c r="B268" s="44"/>
      <c r="C268" s="44"/>
      <c r="F268" s="15"/>
      <c r="J268" s="29"/>
      <c r="N268" s="30"/>
      <c r="O268" s="14"/>
    </row>
    <row r="269" ht="15.75" customHeight="1">
      <c r="A269" s="1"/>
      <c r="B269" s="44"/>
      <c r="C269" s="44"/>
      <c r="F269" s="15"/>
      <c r="J269" s="29"/>
      <c r="N269" s="30"/>
      <c r="O269" s="14"/>
    </row>
    <row r="270" ht="15.75" customHeight="1">
      <c r="A270" s="1"/>
      <c r="B270" s="44"/>
      <c r="C270" s="44"/>
      <c r="F270" s="15"/>
      <c r="J270" s="29"/>
      <c r="N270" s="30"/>
      <c r="O270" s="14"/>
    </row>
    <row r="271" ht="15.75" customHeight="1">
      <c r="A271" s="1"/>
      <c r="B271" s="44"/>
      <c r="C271" s="44"/>
      <c r="F271" s="15"/>
      <c r="J271" s="29"/>
      <c r="N271" s="30"/>
      <c r="O271" s="14"/>
    </row>
    <row r="272" ht="15.75" customHeight="1">
      <c r="A272" s="1"/>
      <c r="B272" s="44"/>
      <c r="C272" s="44"/>
      <c r="F272" s="15"/>
      <c r="J272" s="29"/>
      <c r="N272" s="30"/>
      <c r="O272" s="14"/>
    </row>
    <row r="273" ht="15.75" customHeight="1">
      <c r="A273" s="1"/>
      <c r="B273" s="44"/>
      <c r="C273" s="44"/>
      <c r="F273" s="15"/>
      <c r="J273" s="29"/>
      <c r="N273" s="30"/>
      <c r="O273" s="14"/>
    </row>
    <row r="274" ht="15.75" customHeight="1">
      <c r="A274" s="1"/>
      <c r="B274" s="44"/>
      <c r="C274" s="44"/>
      <c r="F274" s="15"/>
      <c r="J274" s="29"/>
      <c r="N274" s="30"/>
      <c r="O274" s="14"/>
    </row>
    <row r="275" ht="15.75" customHeight="1">
      <c r="A275" s="1"/>
      <c r="B275" s="44"/>
      <c r="C275" s="44"/>
      <c r="F275" s="15"/>
      <c r="J275" s="29"/>
      <c r="N275" s="30"/>
      <c r="O275" s="14"/>
    </row>
    <row r="276" ht="15.75" customHeight="1">
      <c r="A276" s="1"/>
      <c r="B276" s="44"/>
      <c r="C276" s="44"/>
      <c r="F276" s="15"/>
      <c r="J276" s="29"/>
      <c r="N276" s="30"/>
      <c r="O276" s="14"/>
    </row>
    <row r="277" ht="15.75" customHeight="1">
      <c r="A277" s="1"/>
      <c r="B277" s="44"/>
      <c r="C277" s="44"/>
      <c r="F277" s="15"/>
      <c r="J277" s="29"/>
      <c r="N277" s="30"/>
      <c r="O277" s="14"/>
    </row>
    <row r="278" ht="15.75" customHeight="1">
      <c r="A278" s="1"/>
      <c r="B278" s="44"/>
      <c r="C278" s="44"/>
      <c r="F278" s="15"/>
      <c r="J278" s="29"/>
      <c r="N278" s="30"/>
      <c r="O278" s="14"/>
    </row>
    <row r="279" ht="15.75" customHeight="1">
      <c r="A279" s="1"/>
      <c r="B279" s="44"/>
      <c r="C279" s="44"/>
      <c r="F279" s="15"/>
      <c r="J279" s="29"/>
      <c r="N279" s="30"/>
      <c r="O279" s="14"/>
    </row>
    <row r="280" ht="15.75" customHeight="1">
      <c r="A280" s="1"/>
      <c r="B280" s="44"/>
      <c r="C280" s="44"/>
      <c r="F280" s="15"/>
      <c r="J280" s="29"/>
      <c r="N280" s="30"/>
      <c r="O280" s="14"/>
    </row>
    <row r="281" ht="15.75" customHeight="1">
      <c r="A281" s="1"/>
      <c r="B281" s="44"/>
      <c r="C281" s="44"/>
      <c r="F281" s="15"/>
      <c r="J281" s="29"/>
      <c r="N281" s="30"/>
      <c r="O281" s="14"/>
    </row>
    <row r="282" ht="15.75" customHeight="1">
      <c r="A282" s="1"/>
      <c r="B282" s="44"/>
      <c r="C282" s="44"/>
      <c r="F282" s="15"/>
      <c r="J282" s="29"/>
      <c r="N282" s="30"/>
      <c r="O282" s="14"/>
    </row>
    <row r="283" ht="15.75" customHeight="1">
      <c r="A283" s="1"/>
      <c r="B283" s="44"/>
      <c r="C283" s="44"/>
      <c r="F283" s="15"/>
      <c r="J283" s="29"/>
      <c r="N283" s="30"/>
      <c r="O283" s="14"/>
    </row>
    <row r="284" ht="15.75" customHeight="1">
      <c r="A284" s="1"/>
      <c r="B284" s="44"/>
      <c r="C284" s="44"/>
      <c r="F284" s="15"/>
      <c r="J284" s="29"/>
      <c r="N284" s="30"/>
      <c r="O284" s="14"/>
    </row>
    <row r="285" ht="15.75" customHeight="1">
      <c r="A285" s="1"/>
      <c r="B285" s="44"/>
      <c r="C285" s="44"/>
      <c r="F285" s="15"/>
      <c r="J285" s="29"/>
      <c r="N285" s="30"/>
      <c r="O285" s="14"/>
    </row>
    <row r="286" ht="15.75" customHeight="1">
      <c r="A286" s="1"/>
      <c r="B286" s="44"/>
      <c r="C286" s="44"/>
      <c r="F286" s="15"/>
      <c r="J286" s="29"/>
      <c r="N286" s="30"/>
      <c r="O286" s="14"/>
    </row>
    <row r="287" ht="15.75" customHeight="1">
      <c r="A287" s="1"/>
      <c r="B287" s="44"/>
      <c r="C287" s="44"/>
      <c r="F287" s="15"/>
      <c r="J287" s="29"/>
      <c r="N287" s="30"/>
      <c r="O287" s="14"/>
    </row>
    <row r="288" ht="15.75" customHeight="1">
      <c r="A288" s="1"/>
      <c r="B288" s="44"/>
      <c r="C288" s="44"/>
      <c r="F288" s="15"/>
      <c r="J288" s="29"/>
      <c r="N288" s="30"/>
      <c r="O288" s="14"/>
    </row>
    <row r="289" ht="15.75" customHeight="1">
      <c r="A289" s="1"/>
      <c r="B289" s="44"/>
      <c r="C289" s="44"/>
      <c r="F289" s="15"/>
      <c r="J289" s="29"/>
      <c r="N289" s="30"/>
      <c r="O289" s="14"/>
    </row>
    <row r="290" ht="15.75" customHeight="1">
      <c r="A290" s="1"/>
      <c r="B290" s="44"/>
      <c r="C290" s="44"/>
      <c r="F290" s="15"/>
      <c r="J290" s="29"/>
      <c r="N290" s="30"/>
      <c r="O290" s="14"/>
    </row>
    <row r="291" ht="15.75" customHeight="1">
      <c r="A291" s="1"/>
      <c r="B291" s="44"/>
      <c r="C291" s="44"/>
      <c r="F291" s="15"/>
      <c r="J291" s="29"/>
      <c r="N291" s="30"/>
      <c r="O291" s="14"/>
    </row>
    <row r="292" ht="15.75" customHeight="1">
      <c r="A292" s="1"/>
      <c r="B292" s="44"/>
      <c r="C292" s="44"/>
      <c r="F292" s="15"/>
      <c r="J292" s="29"/>
      <c r="N292" s="30"/>
      <c r="O292" s="14"/>
    </row>
    <row r="293" ht="15.75" customHeight="1">
      <c r="A293" s="1"/>
      <c r="B293" s="44"/>
      <c r="C293" s="44"/>
      <c r="F293" s="15"/>
      <c r="J293" s="29"/>
      <c r="N293" s="30"/>
      <c r="O293" s="14"/>
    </row>
    <row r="294" ht="15.75" customHeight="1">
      <c r="A294" s="1"/>
      <c r="B294" s="44"/>
      <c r="C294" s="44"/>
      <c r="F294" s="15"/>
      <c r="J294" s="29"/>
      <c r="N294" s="30"/>
      <c r="O294" s="14"/>
    </row>
    <row r="295" ht="15.75" customHeight="1">
      <c r="A295" s="1"/>
      <c r="B295" s="44"/>
      <c r="C295" s="44"/>
      <c r="F295" s="15"/>
      <c r="J295" s="29"/>
      <c r="N295" s="30"/>
      <c r="O295" s="14"/>
    </row>
    <row r="296" ht="15.75" customHeight="1">
      <c r="A296" s="1"/>
      <c r="B296" s="44"/>
      <c r="C296" s="44"/>
      <c r="F296" s="15"/>
      <c r="J296" s="29"/>
      <c r="N296" s="30"/>
      <c r="O296" s="14"/>
    </row>
    <row r="297" ht="15.75" customHeight="1">
      <c r="A297" s="1"/>
      <c r="B297" s="44"/>
      <c r="C297" s="44"/>
      <c r="F297" s="15"/>
      <c r="J297" s="29"/>
      <c r="N297" s="30"/>
      <c r="O297" s="14"/>
    </row>
    <row r="298" ht="15.75" customHeight="1">
      <c r="A298" s="1"/>
      <c r="B298" s="44"/>
      <c r="C298" s="44"/>
      <c r="F298" s="15"/>
      <c r="J298" s="29"/>
      <c r="N298" s="30"/>
      <c r="O298" s="14"/>
    </row>
    <row r="299" ht="15.75" customHeight="1">
      <c r="A299" s="1"/>
      <c r="B299" s="44"/>
      <c r="C299" s="44"/>
      <c r="F299" s="15"/>
      <c r="J299" s="29"/>
      <c r="N299" s="30"/>
      <c r="O299" s="14"/>
    </row>
    <row r="300" ht="15.75" customHeight="1">
      <c r="A300" s="1"/>
      <c r="B300" s="44"/>
      <c r="C300" s="44"/>
      <c r="F300" s="15"/>
      <c r="J300" s="29"/>
      <c r="N300" s="30"/>
      <c r="O300" s="14"/>
    </row>
    <row r="301" ht="15.75" customHeight="1">
      <c r="A301" s="1"/>
      <c r="B301" s="44"/>
      <c r="C301" s="44"/>
      <c r="F301" s="15"/>
      <c r="J301" s="29"/>
      <c r="N301" s="30"/>
      <c r="O301" s="14"/>
    </row>
    <row r="302" ht="15.75" customHeight="1">
      <c r="A302" s="1"/>
      <c r="B302" s="44"/>
      <c r="C302" s="44"/>
      <c r="F302" s="15"/>
      <c r="J302" s="29"/>
      <c r="N302" s="30"/>
      <c r="O302" s="14"/>
    </row>
    <row r="303" ht="15.75" customHeight="1">
      <c r="A303" s="1"/>
      <c r="B303" s="44"/>
      <c r="C303" s="44"/>
      <c r="F303" s="15"/>
      <c r="J303" s="29"/>
      <c r="N303" s="30"/>
      <c r="O303" s="14"/>
    </row>
    <row r="304" ht="15.75" customHeight="1">
      <c r="A304" s="1"/>
      <c r="B304" s="44"/>
      <c r="C304" s="44"/>
      <c r="F304" s="15"/>
      <c r="J304" s="29"/>
      <c r="N304" s="30"/>
      <c r="O304" s="14"/>
    </row>
    <row r="305" ht="15.75" customHeight="1">
      <c r="A305" s="1"/>
      <c r="B305" s="44"/>
      <c r="C305" s="44"/>
      <c r="F305" s="15"/>
      <c r="J305" s="29"/>
      <c r="N305" s="30"/>
      <c r="O305" s="14"/>
    </row>
    <row r="306" ht="15.75" customHeight="1">
      <c r="A306" s="1"/>
      <c r="B306" s="44"/>
      <c r="C306" s="44"/>
      <c r="F306" s="15"/>
      <c r="J306" s="29"/>
      <c r="N306" s="30"/>
      <c r="O306" s="14"/>
    </row>
    <row r="307" ht="15.75" customHeight="1">
      <c r="A307" s="1"/>
      <c r="B307" s="44"/>
      <c r="C307" s="44"/>
      <c r="F307" s="15"/>
      <c r="J307" s="29"/>
      <c r="N307" s="30"/>
      <c r="O307" s="14"/>
    </row>
    <row r="308" ht="15.75" customHeight="1">
      <c r="A308" s="1"/>
      <c r="B308" s="44"/>
      <c r="C308" s="44"/>
      <c r="F308" s="15"/>
      <c r="J308" s="29"/>
      <c r="N308" s="30"/>
      <c r="O308" s="14"/>
    </row>
    <row r="309" ht="15.75" customHeight="1">
      <c r="A309" s="1"/>
      <c r="B309" s="44"/>
      <c r="C309" s="44"/>
      <c r="F309" s="15"/>
      <c r="J309" s="29"/>
      <c r="N309" s="30"/>
      <c r="O309" s="14"/>
    </row>
    <row r="310" ht="15.75" customHeight="1">
      <c r="A310" s="1"/>
      <c r="B310" s="44"/>
      <c r="C310" s="44"/>
      <c r="F310" s="15"/>
      <c r="J310" s="29"/>
      <c r="N310" s="30"/>
      <c r="O310" s="14"/>
    </row>
    <row r="311" ht="15.75" customHeight="1">
      <c r="A311" s="1"/>
      <c r="B311" s="44"/>
      <c r="C311" s="44"/>
      <c r="F311" s="15"/>
      <c r="J311" s="29"/>
      <c r="N311" s="30"/>
      <c r="O311" s="14"/>
    </row>
    <row r="312" ht="15.75" customHeight="1">
      <c r="A312" s="1"/>
      <c r="B312" s="44"/>
      <c r="C312" s="44"/>
      <c r="F312" s="15"/>
      <c r="J312" s="29"/>
      <c r="N312" s="30"/>
      <c r="O312" s="14"/>
    </row>
    <row r="313" ht="15.75" customHeight="1">
      <c r="A313" s="1"/>
      <c r="B313" s="44"/>
      <c r="C313" s="44"/>
      <c r="F313" s="15"/>
      <c r="J313" s="29"/>
      <c r="N313" s="30"/>
      <c r="O313" s="14"/>
    </row>
    <row r="314" ht="15.75" customHeight="1">
      <c r="A314" s="1"/>
      <c r="B314" s="44"/>
      <c r="C314" s="44"/>
      <c r="F314" s="15"/>
      <c r="J314" s="29"/>
      <c r="N314" s="30"/>
      <c r="O314" s="14"/>
    </row>
    <row r="315" ht="15.75" customHeight="1">
      <c r="A315" s="1"/>
      <c r="B315" s="44"/>
      <c r="C315" s="44"/>
      <c r="F315" s="15"/>
      <c r="J315" s="29"/>
      <c r="N315" s="30"/>
      <c r="O315" s="14"/>
    </row>
    <row r="316" ht="15.75" customHeight="1">
      <c r="A316" s="1"/>
      <c r="B316" s="44"/>
      <c r="C316" s="44"/>
      <c r="F316" s="15"/>
      <c r="J316" s="29"/>
      <c r="N316" s="30"/>
      <c r="O316" s="14"/>
    </row>
    <row r="317" ht="15.75" customHeight="1">
      <c r="A317" s="1"/>
      <c r="B317" s="44"/>
      <c r="C317" s="44"/>
      <c r="F317" s="15"/>
      <c r="J317" s="29"/>
      <c r="N317" s="30"/>
      <c r="O317" s="14"/>
    </row>
    <row r="318" ht="15.75" customHeight="1">
      <c r="A318" s="1"/>
      <c r="B318" s="44"/>
      <c r="C318" s="44"/>
      <c r="F318" s="15"/>
      <c r="J318" s="29"/>
      <c r="N318" s="30"/>
      <c r="O318" s="14"/>
    </row>
    <row r="319" ht="15.75" customHeight="1">
      <c r="A319" s="1"/>
      <c r="B319" s="44"/>
      <c r="C319" s="44"/>
      <c r="F319" s="15"/>
      <c r="J319" s="29"/>
      <c r="N319" s="30"/>
      <c r="O319" s="14"/>
    </row>
    <row r="320" ht="15.75" customHeight="1">
      <c r="A320" s="1"/>
      <c r="B320" s="44"/>
      <c r="C320" s="44"/>
      <c r="F320" s="15"/>
      <c r="J320" s="29"/>
      <c r="N320" s="30"/>
      <c r="O320" s="14"/>
    </row>
    <row r="321" ht="15.75" customHeight="1">
      <c r="A321" s="1"/>
      <c r="B321" s="44"/>
      <c r="C321" s="44"/>
      <c r="F321" s="15"/>
      <c r="J321" s="29"/>
      <c r="N321" s="30"/>
      <c r="O321" s="14"/>
    </row>
    <row r="322" ht="15.75" customHeight="1">
      <c r="A322" s="1"/>
      <c r="B322" s="44"/>
      <c r="C322" s="44"/>
      <c r="F322" s="15"/>
      <c r="J322" s="29"/>
      <c r="N322" s="30"/>
      <c r="O322" s="14"/>
    </row>
    <row r="323" ht="15.75" customHeight="1">
      <c r="A323" s="1"/>
      <c r="B323" s="44"/>
      <c r="C323" s="44"/>
      <c r="F323" s="15"/>
      <c r="J323" s="29"/>
      <c r="N323" s="30"/>
      <c r="O323" s="14"/>
    </row>
    <row r="324" ht="15.75" customHeight="1">
      <c r="A324" s="1"/>
      <c r="B324" s="44"/>
      <c r="C324" s="44"/>
      <c r="F324" s="15"/>
      <c r="J324" s="29"/>
      <c r="N324" s="30"/>
      <c r="O324" s="14"/>
    </row>
    <row r="325" ht="15.75" customHeight="1">
      <c r="A325" s="1"/>
      <c r="B325" s="44"/>
      <c r="C325" s="44"/>
      <c r="F325" s="15"/>
      <c r="J325" s="29"/>
      <c r="N325" s="30"/>
      <c r="O325" s="14"/>
    </row>
    <row r="326" ht="15.75" customHeight="1">
      <c r="A326" s="1"/>
      <c r="B326" s="44"/>
      <c r="C326" s="44"/>
      <c r="F326" s="15"/>
      <c r="J326" s="29"/>
      <c r="N326" s="30"/>
      <c r="O326" s="14"/>
    </row>
    <row r="327" ht="15.75" customHeight="1">
      <c r="A327" s="1"/>
      <c r="B327" s="44"/>
      <c r="C327" s="44"/>
      <c r="F327" s="15"/>
      <c r="J327" s="29"/>
      <c r="N327" s="30"/>
      <c r="O327" s="14"/>
    </row>
    <row r="328" ht="15.75" customHeight="1">
      <c r="A328" s="1"/>
      <c r="B328" s="44"/>
      <c r="C328" s="44"/>
      <c r="F328" s="15"/>
      <c r="J328" s="29"/>
      <c r="N328" s="30"/>
      <c r="O328" s="14"/>
    </row>
    <row r="329" ht="15.75" customHeight="1">
      <c r="A329" s="1"/>
      <c r="B329" s="44"/>
      <c r="C329" s="44"/>
      <c r="F329" s="15"/>
      <c r="J329" s="29"/>
      <c r="N329" s="30"/>
      <c r="O329" s="14"/>
    </row>
    <row r="330" ht="15.75" customHeight="1">
      <c r="A330" s="1"/>
      <c r="B330" s="44"/>
      <c r="C330" s="44"/>
      <c r="F330" s="15"/>
      <c r="J330" s="29"/>
      <c r="N330" s="30"/>
      <c r="O330" s="14"/>
    </row>
    <row r="331" ht="15.75" customHeight="1">
      <c r="A331" s="1"/>
      <c r="B331" s="44"/>
      <c r="C331" s="44"/>
      <c r="F331" s="15"/>
      <c r="J331" s="29"/>
      <c r="N331" s="30"/>
      <c r="O331" s="14"/>
    </row>
    <row r="332" ht="15.75" customHeight="1">
      <c r="A332" s="1"/>
      <c r="B332" s="44"/>
      <c r="C332" s="44"/>
      <c r="F332" s="15"/>
      <c r="J332" s="29"/>
      <c r="N332" s="30"/>
      <c r="O332" s="14"/>
    </row>
    <row r="333" ht="15.75" customHeight="1">
      <c r="A333" s="1"/>
      <c r="B333" s="44"/>
      <c r="C333" s="44"/>
      <c r="F333" s="15"/>
      <c r="J333" s="29"/>
      <c r="N333" s="30"/>
      <c r="O333" s="14"/>
    </row>
    <row r="334" ht="15.75" customHeight="1">
      <c r="A334" s="1"/>
      <c r="B334" s="44"/>
      <c r="C334" s="44"/>
      <c r="F334" s="15"/>
      <c r="J334" s="29"/>
      <c r="N334" s="30"/>
      <c r="O334" s="14"/>
    </row>
    <row r="335" ht="15.75" customHeight="1">
      <c r="B335" s="44"/>
      <c r="C335" s="44"/>
      <c r="F335" s="15"/>
      <c r="J335" s="29"/>
      <c r="N335" s="30"/>
      <c r="O335" s="14"/>
    </row>
    <row r="336" ht="15.75" customHeight="1">
      <c r="B336" s="44"/>
      <c r="C336" s="44"/>
      <c r="F336" s="15"/>
      <c r="J336" s="29"/>
      <c r="N336" s="30"/>
      <c r="O336" s="14"/>
    </row>
    <row r="337" ht="15.75" customHeight="1">
      <c r="B337" s="44"/>
      <c r="C337" s="44"/>
      <c r="F337" s="15"/>
      <c r="J337" s="29"/>
      <c r="N337" s="30"/>
      <c r="O337" s="14"/>
    </row>
    <row r="338" ht="15.75" customHeight="1">
      <c r="B338" s="44"/>
      <c r="C338" s="44"/>
      <c r="F338" s="15"/>
      <c r="J338" s="29"/>
      <c r="N338" s="30"/>
      <c r="O338" s="14"/>
    </row>
    <row r="339" ht="15.75" customHeight="1">
      <c r="B339" s="44"/>
      <c r="C339" s="44"/>
      <c r="F339" s="15"/>
      <c r="J339" s="29"/>
      <c r="N339" s="30"/>
      <c r="O339" s="14"/>
    </row>
    <row r="340" ht="15.75" customHeight="1">
      <c r="B340" s="44"/>
      <c r="C340" s="44"/>
      <c r="F340" s="15"/>
      <c r="J340" s="29"/>
      <c r="N340" s="30"/>
      <c r="O340" s="14"/>
    </row>
    <row r="341" ht="15.75" customHeight="1">
      <c r="B341" s="44"/>
      <c r="C341" s="44"/>
      <c r="F341" s="15"/>
      <c r="J341" s="29"/>
      <c r="N341" s="30"/>
      <c r="O341" s="14"/>
    </row>
    <row r="342" ht="15.75" customHeight="1">
      <c r="B342" s="44"/>
      <c r="C342" s="44"/>
      <c r="F342" s="15"/>
      <c r="J342" s="29"/>
      <c r="N342" s="30"/>
      <c r="O342" s="14"/>
    </row>
    <row r="343" ht="15.75" customHeight="1">
      <c r="B343" s="44"/>
      <c r="C343" s="44"/>
      <c r="F343" s="15"/>
      <c r="J343" s="29"/>
      <c r="N343" s="30"/>
      <c r="O343" s="14"/>
    </row>
    <row r="344" ht="15.75" customHeight="1">
      <c r="B344" s="44"/>
      <c r="C344" s="44"/>
      <c r="F344" s="15"/>
      <c r="J344" s="29"/>
      <c r="N344" s="30"/>
      <c r="O344" s="14"/>
    </row>
    <row r="345" ht="15.75" customHeight="1">
      <c r="B345" s="44"/>
      <c r="C345" s="44"/>
      <c r="F345" s="15"/>
      <c r="J345" s="29"/>
      <c r="N345" s="30"/>
      <c r="O345" s="14"/>
    </row>
    <row r="346" ht="15.75" customHeight="1">
      <c r="B346" s="44"/>
      <c r="C346" s="44"/>
      <c r="F346" s="15"/>
      <c r="J346" s="29"/>
      <c r="N346" s="30"/>
      <c r="O346" s="14"/>
    </row>
    <row r="347" ht="15.75" customHeight="1">
      <c r="B347" s="44"/>
      <c r="C347" s="44"/>
      <c r="F347" s="15"/>
      <c r="J347" s="29"/>
      <c r="N347" s="30"/>
      <c r="O347" s="14"/>
    </row>
    <row r="348" ht="15.75" customHeight="1">
      <c r="B348" s="44"/>
      <c r="C348" s="44"/>
      <c r="F348" s="15"/>
      <c r="J348" s="29"/>
      <c r="N348" s="30"/>
      <c r="O348" s="14"/>
    </row>
    <row r="349" ht="15.75" customHeight="1">
      <c r="B349" s="44"/>
      <c r="C349" s="44"/>
      <c r="F349" s="15"/>
      <c r="J349" s="29"/>
      <c r="N349" s="30"/>
      <c r="O349" s="14"/>
    </row>
    <row r="350" ht="15.75" customHeight="1">
      <c r="B350" s="44"/>
      <c r="C350" s="44"/>
      <c r="F350" s="15"/>
      <c r="J350" s="29"/>
      <c r="N350" s="30"/>
      <c r="O350" s="14"/>
    </row>
    <row r="351" ht="15.75" customHeight="1">
      <c r="B351" s="44"/>
      <c r="C351" s="44"/>
      <c r="F351" s="15"/>
      <c r="J351" s="29"/>
      <c r="N351" s="30"/>
      <c r="O351" s="14"/>
    </row>
    <row r="352" ht="15.75" customHeight="1">
      <c r="B352" s="44"/>
      <c r="C352" s="44"/>
      <c r="F352" s="15"/>
      <c r="J352" s="29"/>
      <c r="N352" s="30"/>
      <c r="O352" s="14"/>
    </row>
    <row r="353" ht="15.75" customHeight="1">
      <c r="B353" s="44"/>
      <c r="C353" s="44"/>
      <c r="F353" s="15"/>
      <c r="J353" s="29"/>
      <c r="N353" s="30"/>
      <c r="O353" s="14"/>
    </row>
    <row r="354" ht="15.75" customHeight="1">
      <c r="B354" s="44"/>
      <c r="C354" s="44"/>
      <c r="F354" s="15"/>
      <c r="J354" s="29"/>
      <c r="N354" s="30"/>
      <c r="O354" s="14"/>
    </row>
    <row r="355" ht="15.75" customHeight="1">
      <c r="B355" s="44"/>
      <c r="C355" s="44"/>
      <c r="F355" s="15"/>
      <c r="J355" s="29"/>
      <c r="N355" s="30"/>
      <c r="O355" s="14"/>
    </row>
    <row r="356" ht="15.75" customHeight="1">
      <c r="B356" s="44"/>
      <c r="C356" s="44"/>
      <c r="F356" s="15"/>
      <c r="J356" s="29"/>
      <c r="N356" s="30"/>
      <c r="O356" s="14"/>
    </row>
    <row r="357" ht="15.75" customHeight="1">
      <c r="B357" s="44"/>
      <c r="C357" s="44"/>
      <c r="F357" s="15"/>
      <c r="J357" s="29"/>
      <c r="N357" s="30"/>
      <c r="O357" s="14"/>
    </row>
    <row r="358" ht="15.75" customHeight="1">
      <c r="B358" s="44"/>
      <c r="C358" s="44"/>
      <c r="F358" s="15"/>
      <c r="J358" s="29"/>
      <c r="N358" s="30"/>
      <c r="O358" s="14"/>
    </row>
    <row r="359" ht="15.75" customHeight="1">
      <c r="B359" s="44"/>
      <c r="C359" s="44"/>
      <c r="F359" s="15"/>
      <c r="J359" s="29"/>
      <c r="N359" s="30"/>
      <c r="O359" s="14"/>
    </row>
    <row r="360" ht="15.75" customHeight="1">
      <c r="B360" s="44"/>
      <c r="C360" s="44"/>
      <c r="F360" s="15"/>
      <c r="J360" s="29"/>
      <c r="N360" s="30"/>
      <c r="O360" s="14"/>
    </row>
    <row r="361" ht="15.75" customHeight="1">
      <c r="B361" s="44"/>
      <c r="C361" s="44"/>
      <c r="F361" s="15"/>
      <c r="J361" s="29"/>
      <c r="N361" s="30"/>
      <c r="O361" s="14"/>
    </row>
    <row r="362" ht="15.75" customHeight="1">
      <c r="B362" s="44"/>
      <c r="C362" s="44"/>
      <c r="F362" s="15"/>
      <c r="J362" s="29"/>
      <c r="N362" s="30"/>
      <c r="O362" s="14"/>
    </row>
    <row r="363" ht="15.75" customHeight="1">
      <c r="B363" s="44"/>
      <c r="C363" s="44"/>
      <c r="F363" s="15"/>
      <c r="J363" s="29"/>
      <c r="N363" s="30"/>
      <c r="O363" s="14"/>
    </row>
    <row r="364" ht="15.75" customHeight="1">
      <c r="B364" s="44"/>
      <c r="C364" s="44"/>
      <c r="F364" s="15"/>
      <c r="J364" s="29"/>
      <c r="N364" s="30"/>
      <c r="O364" s="14"/>
    </row>
    <row r="365" ht="15.75" customHeight="1">
      <c r="B365" s="44"/>
      <c r="C365" s="44"/>
      <c r="F365" s="15"/>
      <c r="J365" s="29"/>
      <c r="N365" s="30"/>
      <c r="O365" s="14"/>
    </row>
    <row r="366" ht="15.75" customHeight="1">
      <c r="B366" s="44"/>
      <c r="C366" s="44"/>
      <c r="F366" s="15"/>
      <c r="J366" s="29"/>
      <c r="N366" s="30"/>
      <c r="O366" s="14"/>
    </row>
    <row r="367" ht="15.75" customHeight="1">
      <c r="B367" s="44"/>
      <c r="C367" s="44"/>
      <c r="F367" s="15"/>
      <c r="J367" s="29"/>
      <c r="N367" s="30"/>
      <c r="O367" s="14"/>
    </row>
    <row r="368" ht="15.75" customHeight="1">
      <c r="B368" s="44"/>
      <c r="C368" s="44"/>
      <c r="F368" s="15"/>
      <c r="J368" s="29"/>
      <c r="N368" s="30"/>
      <c r="O368" s="14"/>
    </row>
    <row r="369" ht="15.75" customHeight="1">
      <c r="B369" s="44"/>
      <c r="C369" s="44"/>
      <c r="F369" s="15"/>
      <c r="J369" s="29"/>
      <c r="N369" s="30"/>
      <c r="O369" s="14"/>
    </row>
    <row r="370" ht="15.75" customHeight="1">
      <c r="B370" s="44"/>
      <c r="C370" s="44"/>
      <c r="F370" s="15"/>
      <c r="J370" s="29"/>
      <c r="N370" s="30"/>
      <c r="O370" s="14"/>
    </row>
    <row r="371" ht="15.75" customHeight="1">
      <c r="B371" s="44"/>
      <c r="C371" s="44"/>
      <c r="F371" s="15"/>
      <c r="J371" s="29"/>
      <c r="N371" s="30"/>
      <c r="O371" s="14"/>
    </row>
    <row r="372" ht="15.75" customHeight="1">
      <c r="B372" s="44"/>
      <c r="C372" s="44"/>
      <c r="F372" s="15"/>
      <c r="J372" s="29"/>
      <c r="N372" s="30"/>
      <c r="O372" s="14"/>
    </row>
    <row r="373" ht="15.75" customHeight="1">
      <c r="B373" s="44"/>
      <c r="C373" s="44"/>
      <c r="F373" s="15"/>
      <c r="J373" s="29"/>
      <c r="N373" s="30"/>
      <c r="O373" s="14"/>
    </row>
    <row r="374" ht="15.75" customHeight="1">
      <c r="B374" s="44"/>
      <c r="C374" s="44"/>
      <c r="F374" s="15"/>
      <c r="J374" s="29"/>
      <c r="N374" s="30"/>
      <c r="O374" s="14"/>
    </row>
    <row r="375" ht="15.75" customHeight="1">
      <c r="B375" s="44"/>
      <c r="C375" s="44"/>
      <c r="F375" s="15"/>
      <c r="J375" s="29"/>
      <c r="N375" s="30"/>
      <c r="O375" s="14"/>
    </row>
    <row r="376" ht="15.75" customHeight="1">
      <c r="B376" s="44"/>
      <c r="C376" s="44"/>
      <c r="F376" s="15"/>
      <c r="J376" s="29"/>
      <c r="N376" s="30"/>
      <c r="O376" s="14"/>
    </row>
    <row r="377" ht="15.75" customHeight="1">
      <c r="B377" s="44"/>
      <c r="C377" s="44"/>
      <c r="F377" s="15"/>
      <c r="J377" s="29"/>
      <c r="N377" s="30"/>
      <c r="O377" s="14"/>
    </row>
    <row r="378" ht="15.75" customHeight="1">
      <c r="B378" s="44"/>
      <c r="C378" s="44"/>
      <c r="F378" s="15"/>
      <c r="J378" s="29"/>
      <c r="N378" s="30"/>
      <c r="O378" s="14"/>
    </row>
    <row r="379" ht="15.75" customHeight="1">
      <c r="B379" s="44"/>
      <c r="C379" s="44"/>
      <c r="F379" s="15"/>
      <c r="J379" s="29"/>
      <c r="N379" s="30"/>
      <c r="O379" s="14"/>
    </row>
    <row r="380" ht="15.75" customHeight="1">
      <c r="B380" s="44"/>
      <c r="C380" s="44"/>
      <c r="F380" s="15"/>
      <c r="J380" s="29"/>
      <c r="N380" s="30"/>
      <c r="O380" s="14"/>
    </row>
    <row r="381" ht="15.75" customHeight="1">
      <c r="B381" s="44"/>
      <c r="C381" s="44"/>
      <c r="F381" s="15"/>
      <c r="J381" s="29"/>
      <c r="N381" s="30"/>
      <c r="O381" s="14"/>
    </row>
    <row r="382" ht="15.75" customHeight="1">
      <c r="B382" s="44"/>
      <c r="C382" s="44"/>
      <c r="F382" s="15"/>
      <c r="J382" s="29"/>
      <c r="N382" s="30"/>
      <c r="O382" s="14"/>
    </row>
    <row r="383" ht="15.75" customHeight="1">
      <c r="B383" s="44"/>
      <c r="C383" s="44"/>
      <c r="F383" s="15"/>
      <c r="J383" s="29"/>
      <c r="N383" s="30"/>
      <c r="O383" s="14"/>
    </row>
    <row r="384" ht="15.75" customHeight="1">
      <c r="B384" s="44"/>
      <c r="C384" s="44"/>
      <c r="F384" s="15"/>
      <c r="J384" s="29"/>
      <c r="N384" s="30"/>
      <c r="O384" s="14"/>
    </row>
    <row r="385" ht="15.75" customHeight="1">
      <c r="B385" s="44"/>
      <c r="C385" s="44"/>
      <c r="F385" s="15"/>
      <c r="J385" s="29"/>
      <c r="N385" s="30"/>
      <c r="O385" s="14"/>
    </row>
    <row r="386" ht="15.75" customHeight="1">
      <c r="B386" s="44"/>
      <c r="C386" s="44"/>
      <c r="F386" s="15"/>
      <c r="J386" s="29"/>
      <c r="N386" s="30"/>
      <c r="O386" s="14"/>
    </row>
    <row r="387" ht="15.75" customHeight="1">
      <c r="B387" s="44"/>
      <c r="C387" s="44"/>
      <c r="F387" s="15"/>
      <c r="J387" s="29"/>
      <c r="N387" s="30"/>
      <c r="O387" s="14"/>
    </row>
    <row r="388" ht="15.75" customHeight="1">
      <c r="B388" s="44"/>
      <c r="C388" s="44"/>
      <c r="F388" s="15"/>
      <c r="J388" s="29"/>
      <c r="N388" s="30"/>
      <c r="O388" s="14"/>
    </row>
    <row r="389" ht="15.75" customHeight="1">
      <c r="B389" s="44"/>
      <c r="C389" s="44"/>
      <c r="F389" s="15"/>
      <c r="J389" s="29"/>
      <c r="N389" s="30"/>
      <c r="O389" s="14"/>
    </row>
    <row r="390" ht="15.75" customHeight="1">
      <c r="B390" s="44"/>
      <c r="C390" s="44"/>
      <c r="F390" s="15"/>
      <c r="J390" s="29"/>
      <c r="N390" s="30"/>
      <c r="O390" s="14"/>
    </row>
    <row r="391" ht="15.75" customHeight="1">
      <c r="B391" s="44"/>
      <c r="C391" s="44"/>
      <c r="F391" s="15"/>
      <c r="J391" s="29"/>
      <c r="N391" s="30"/>
      <c r="O391" s="14"/>
    </row>
    <row r="392" ht="15.75" customHeight="1">
      <c r="B392" s="44"/>
      <c r="C392" s="44"/>
      <c r="F392" s="15"/>
      <c r="J392" s="29"/>
      <c r="N392" s="30"/>
      <c r="O392" s="14"/>
    </row>
    <row r="393" ht="15.75" customHeight="1">
      <c r="B393" s="44"/>
      <c r="C393" s="44"/>
      <c r="F393" s="15"/>
      <c r="J393" s="29"/>
      <c r="N393" s="30"/>
      <c r="O393" s="14"/>
    </row>
    <row r="394" ht="15.75" customHeight="1">
      <c r="B394" s="44"/>
      <c r="C394" s="44"/>
      <c r="F394" s="15"/>
      <c r="J394" s="29"/>
      <c r="N394" s="30"/>
      <c r="O394" s="14"/>
    </row>
    <row r="395" ht="15.75" customHeight="1">
      <c r="B395" s="44"/>
      <c r="C395" s="44"/>
      <c r="F395" s="15"/>
      <c r="J395" s="29"/>
      <c r="N395" s="30"/>
      <c r="O395" s="14"/>
    </row>
    <row r="396" ht="15.75" customHeight="1">
      <c r="B396" s="44"/>
      <c r="C396" s="44"/>
      <c r="F396" s="15"/>
      <c r="J396" s="29"/>
      <c r="N396" s="30"/>
      <c r="O396" s="14"/>
    </row>
    <row r="397" ht="15.75" customHeight="1">
      <c r="B397" s="44"/>
      <c r="C397" s="44"/>
      <c r="F397" s="15"/>
      <c r="J397" s="29"/>
      <c r="N397" s="30"/>
      <c r="O397" s="14"/>
    </row>
    <row r="398" ht="15.75" customHeight="1">
      <c r="B398" s="44"/>
      <c r="C398" s="44"/>
      <c r="F398" s="15"/>
      <c r="J398" s="29"/>
      <c r="N398" s="30"/>
      <c r="O398" s="14"/>
    </row>
    <row r="399" ht="15.75" customHeight="1">
      <c r="B399" s="44"/>
      <c r="C399" s="44"/>
      <c r="F399" s="15"/>
      <c r="J399" s="29"/>
      <c r="N399" s="30"/>
      <c r="O399" s="14"/>
    </row>
    <row r="400" ht="15.75" customHeight="1">
      <c r="B400" s="44"/>
      <c r="C400" s="44"/>
      <c r="F400" s="15"/>
      <c r="J400" s="29"/>
      <c r="N400" s="30"/>
      <c r="O400" s="14"/>
    </row>
    <row r="401" ht="15.75" customHeight="1">
      <c r="B401" s="44"/>
      <c r="C401" s="44"/>
      <c r="F401" s="15"/>
      <c r="J401" s="29"/>
      <c r="N401" s="30"/>
      <c r="O401" s="14"/>
    </row>
    <row r="402" ht="15.75" customHeight="1">
      <c r="B402" s="44"/>
      <c r="C402" s="44"/>
      <c r="F402" s="15"/>
      <c r="J402" s="29"/>
      <c r="N402" s="30"/>
      <c r="O402" s="14"/>
    </row>
    <row r="403" ht="15.75" customHeight="1">
      <c r="B403" s="44"/>
      <c r="C403" s="44"/>
      <c r="F403" s="15"/>
      <c r="J403" s="29"/>
      <c r="N403" s="30"/>
      <c r="O403" s="14"/>
    </row>
    <row r="404" ht="15.75" customHeight="1">
      <c r="B404" s="44"/>
      <c r="C404" s="44"/>
      <c r="F404" s="15"/>
      <c r="J404" s="29"/>
      <c r="N404" s="30"/>
      <c r="O404" s="14"/>
    </row>
    <row r="405" ht="15.75" customHeight="1">
      <c r="B405" s="44"/>
      <c r="C405" s="44"/>
      <c r="F405" s="15"/>
      <c r="J405" s="29"/>
      <c r="N405" s="30"/>
      <c r="O405" s="14"/>
    </row>
    <row r="406" ht="15.75" customHeight="1">
      <c r="B406" s="44"/>
      <c r="C406" s="44"/>
      <c r="F406" s="15"/>
      <c r="J406" s="29"/>
      <c r="N406" s="30"/>
      <c r="O406" s="14"/>
    </row>
    <row r="407" ht="15.75" customHeight="1">
      <c r="B407" s="44"/>
      <c r="C407" s="44"/>
      <c r="F407" s="15"/>
      <c r="J407" s="29"/>
      <c r="N407" s="30"/>
      <c r="O407" s="14"/>
    </row>
    <row r="408" ht="15.75" customHeight="1">
      <c r="B408" s="44"/>
      <c r="C408" s="44"/>
      <c r="F408" s="15"/>
      <c r="J408" s="29"/>
      <c r="N408" s="30"/>
      <c r="O408" s="14"/>
    </row>
    <row r="409" ht="15.75" customHeight="1">
      <c r="B409" s="44"/>
      <c r="C409" s="44"/>
      <c r="F409" s="15"/>
      <c r="J409" s="29"/>
      <c r="N409" s="30"/>
      <c r="O409" s="14"/>
    </row>
    <row r="410" ht="15.75" customHeight="1">
      <c r="B410" s="44"/>
      <c r="C410" s="44"/>
      <c r="F410" s="15"/>
      <c r="J410" s="29"/>
      <c r="N410" s="30"/>
      <c r="O410" s="14"/>
    </row>
    <row r="411" ht="15.75" customHeight="1">
      <c r="B411" s="44"/>
      <c r="C411" s="44"/>
      <c r="F411" s="15"/>
      <c r="J411" s="29"/>
      <c r="N411" s="30"/>
      <c r="O411" s="14"/>
    </row>
    <row r="412" ht="15.75" customHeight="1">
      <c r="B412" s="44"/>
      <c r="C412" s="44"/>
      <c r="F412" s="15"/>
      <c r="J412" s="29"/>
      <c r="N412" s="30"/>
      <c r="O412" s="14"/>
    </row>
    <row r="413" ht="15.75" customHeight="1">
      <c r="B413" s="44"/>
      <c r="C413" s="44"/>
      <c r="F413" s="15"/>
      <c r="J413" s="29"/>
      <c r="N413" s="30"/>
      <c r="O413" s="14"/>
    </row>
    <row r="414" ht="15.75" customHeight="1">
      <c r="B414" s="44"/>
      <c r="C414" s="44"/>
      <c r="F414" s="15"/>
      <c r="J414" s="29"/>
      <c r="N414" s="30"/>
      <c r="O414" s="14"/>
    </row>
    <row r="415" ht="15.75" customHeight="1">
      <c r="B415" s="44"/>
      <c r="C415" s="44"/>
      <c r="F415" s="15"/>
      <c r="J415" s="29"/>
      <c r="N415" s="30"/>
      <c r="O415" s="14"/>
    </row>
    <row r="416" ht="15.75" customHeight="1">
      <c r="B416" s="44"/>
      <c r="C416" s="44"/>
      <c r="F416" s="15"/>
      <c r="J416" s="29"/>
      <c r="N416" s="30"/>
      <c r="O416" s="14"/>
    </row>
    <row r="417" ht="15.75" customHeight="1">
      <c r="B417" s="44"/>
      <c r="C417" s="44"/>
      <c r="F417" s="15"/>
      <c r="J417" s="29"/>
      <c r="N417" s="30"/>
      <c r="O417" s="14"/>
    </row>
    <row r="418" ht="15.75" customHeight="1">
      <c r="B418" s="44"/>
      <c r="C418" s="44"/>
      <c r="F418" s="15"/>
      <c r="J418" s="29"/>
      <c r="N418" s="30"/>
      <c r="O418" s="14"/>
    </row>
    <row r="419" ht="15.75" customHeight="1">
      <c r="B419" s="44"/>
      <c r="C419" s="44"/>
      <c r="F419" s="15"/>
      <c r="J419" s="29"/>
      <c r="N419" s="30"/>
      <c r="O419" s="14"/>
    </row>
    <row r="420" ht="15.75" customHeight="1">
      <c r="B420" s="44"/>
      <c r="C420" s="44"/>
      <c r="F420" s="15"/>
      <c r="J420" s="29"/>
      <c r="N420" s="30"/>
      <c r="O420" s="14"/>
    </row>
    <row r="421" ht="15.75" customHeight="1">
      <c r="B421" s="44"/>
      <c r="C421" s="44"/>
      <c r="F421" s="15"/>
      <c r="J421" s="29"/>
      <c r="N421" s="30"/>
      <c r="O421" s="14"/>
    </row>
    <row r="422" ht="15.75" customHeight="1">
      <c r="B422" s="44"/>
      <c r="C422" s="44"/>
      <c r="F422" s="15"/>
      <c r="J422" s="29"/>
      <c r="N422" s="30"/>
      <c r="O422" s="14"/>
    </row>
    <row r="423" ht="15.75" customHeight="1">
      <c r="B423" s="44"/>
      <c r="C423" s="44"/>
      <c r="F423" s="15"/>
      <c r="J423" s="29"/>
      <c r="N423" s="30"/>
      <c r="O423" s="14"/>
    </row>
    <row r="424" ht="15.75" customHeight="1">
      <c r="B424" s="44"/>
      <c r="C424" s="44"/>
      <c r="F424" s="15"/>
      <c r="J424" s="29"/>
      <c r="N424" s="30"/>
      <c r="O424" s="14"/>
    </row>
    <row r="425" ht="15.75" customHeight="1">
      <c r="B425" s="44"/>
      <c r="C425" s="44"/>
      <c r="F425" s="15"/>
      <c r="J425" s="29"/>
      <c r="N425" s="30"/>
      <c r="O425" s="14"/>
    </row>
    <row r="426" ht="15.75" customHeight="1">
      <c r="B426" s="44"/>
      <c r="C426" s="44"/>
      <c r="F426" s="15"/>
      <c r="J426" s="29"/>
      <c r="N426" s="30"/>
      <c r="O426" s="14"/>
    </row>
    <row r="427" ht="15.75" customHeight="1">
      <c r="B427" s="44"/>
      <c r="C427" s="44"/>
      <c r="F427" s="15"/>
      <c r="J427" s="29"/>
      <c r="N427" s="30"/>
      <c r="O427" s="14"/>
    </row>
    <row r="428" ht="15.75" customHeight="1">
      <c r="B428" s="44"/>
      <c r="C428" s="44"/>
      <c r="F428" s="15"/>
      <c r="J428" s="29"/>
      <c r="N428" s="30"/>
      <c r="O428" s="14"/>
    </row>
    <row r="429" ht="15.75" customHeight="1">
      <c r="B429" s="44"/>
      <c r="C429" s="44"/>
      <c r="F429" s="15"/>
      <c r="J429" s="29"/>
      <c r="N429" s="30"/>
      <c r="O429" s="14"/>
    </row>
    <row r="430" ht="15.75" customHeight="1">
      <c r="B430" s="44"/>
      <c r="C430" s="44"/>
      <c r="F430" s="15"/>
      <c r="J430" s="29"/>
      <c r="N430" s="30"/>
      <c r="O430" s="14"/>
    </row>
    <row r="431" ht="15.75" customHeight="1">
      <c r="B431" s="44"/>
      <c r="C431" s="44"/>
      <c r="F431" s="15"/>
      <c r="J431" s="29"/>
      <c r="N431" s="30"/>
      <c r="O431" s="14"/>
    </row>
    <row r="432" ht="15.75" customHeight="1">
      <c r="B432" s="44"/>
      <c r="C432" s="44"/>
      <c r="F432" s="15"/>
      <c r="J432" s="29"/>
      <c r="N432" s="30"/>
      <c r="O432" s="14"/>
    </row>
    <row r="433" ht="15.75" customHeight="1">
      <c r="B433" s="44"/>
      <c r="C433" s="44"/>
      <c r="F433" s="15"/>
      <c r="J433" s="29"/>
      <c r="N433" s="30"/>
      <c r="O433" s="14"/>
    </row>
    <row r="434" ht="15.75" customHeight="1">
      <c r="B434" s="44"/>
      <c r="C434" s="44"/>
      <c r="F434" s="15"/>
      <c r="J434" s="29"/>
      <c r="N434" s="30"/>
      <c r="O434" s="14"/>
    </row>
    <row r="435" ht="15.75" customHeight="1">
      <c r="B435" s="44"/>
      <c r="C435" s="44"/>
      <c r="F435" s="15"/>
      <c r="J435" s="29"/>
      <c r="N435" s="30"/>
      <c r="O435" s="14"/>
    </row>
    <row r="436" ht="15.75" customHeight="1">
      <c r="B436" s="44"/>
      <c r="C436" s="44"/>
      <c r="F436" s="15"/>
      <c r="J436" s="29"/>
      <c r="N436" s="30"/>
      <c r="O436" s="14"/>
    </row>
    <row r="437" ht="15.75" customHeight="1">
      <c r="B437" s="44"/>
      <c r="C437" s="44"/>
      <c r="F437" s="15"/>
      <c r="J437" s="29"/>
      <c r="N437" s="30"/>
      <c r="O437" s="14"/>
    </row>
    <row r="438" ht="15.75" customHeight="1">
      <c r="B438" s="44"/>
      <c r="C438" s="44"/>
      <c r="F438" s="15"/>
      <c r="J438" s="29"/>
      <c r="N438" s="30"/>
      <c r="O438" s="14"/>
    </row>
    <row r="439" ht="15.75" customHeight="1">
      <c r="B439" s="44"/>
      <c r="C439" s="44"/>
      <c r="F439" s="15"/>
      <c r="J439" s="29"/>
      <c r="N439" s="30"/>
      <c r="O439" s="14"/>
    </row>
    <row r="440" ht="15.75" customHeight="1">
      <c r="B440" s="44"/>
      <c r="C440" s="44"/>
      <c r="F440" s="15"/>
      <c r="J440" s="29"/>
      <c r="N440" s="30"/>
      <c r="O440" s="14"/>
    </row>
    <row r="441" ht="15.75" customHeight="1">
      <c r="B441" s="44"/>
      <c r="C441" s="44"/>
      <c r="F441" s="15"/>
      <c r="J441" s="29"/>
      <c r="N441" s="30"/>
      <c r="O441" s="14"/>
    </row>
    <row r="442" ht="15.75" customHeight="1">
      <c r="B442" s="44"/>
      <c r="C442" s="44"/>
      <c r="F442" s="15"/>
      <c r="J442" s="29"/>
      <c r="N442" s="30"/>
      <c r="O442" s="14"/>
    </row>
    <row r="443" ht="15.75" customHeight="1">
      <c r="B443" s="44"/>
      <c r="C443" s="44"/>
      <c r="F443" s="15"/>
      <c r="J443" s="29"/>
      <c r="N443" s="30"/>
      <c r="O443" s="14"/>
    </row>
    <row r="444" ht="15.75" customHeight="1">
      <c r="B444" s="44"/>
      <c r="C444" s="44"/>
      <c r="F444" s="15"/>
      <c r="J444" s="29"/>
      <c r="N444" s="30"/>
      <c r="O444" s="14"/>
    </row>
    <row r="445" ht="15.75" customHeight="1">
      <c r="B445" s="44"/>
      <c r="C445" s="44"/>
      <c r="F445" s="15"/>
      <c r="J445" s="29"/>
      <c r="N445" s="30"/>
      <c r="O445" s="14"/>
    </row>
    <row r="446" ht="15.75" customHeight="1">
      <c r="B446" s="44"/>
      <c r="C446" s="44"/>
      <c r="F446" s="15"/>
      <c r="J446" s="29"/>
      <c r="N446" s="30"/>
      <c r="O446" s="14"/>
    </row>
    <row r="447" ht="15.75" customHeight="1">
      <c r="B447" s="44"/>
      <c r="C447" s="44"/>
      <c r="F447" s="15"/>
      <c r="J447" s="29"/>
      <c r="N447" s="30"/>
      <c r="O447" s="14"/>
    </row>
    <row r="448" ht="15.75" customHeight="1">
      <c r="B448" s="44"/>
      <c r="C448" s="44"/>
      <c r="F448" s="15"/>
      <c r="J448" s="29"/>
      <c r="N448" s="30"/>
      <c r="O448" s="14"/>
    </row>
    <row r="449" ht="15.75" customHeight="1">
      <c r="B449" s="44"/>
      <c r="C449" s="44"/>
      <c r="F449" s="15"/>
      <c r="J449" s="29"/>
      <c r="N449" s="30"/>
      <c r="O449" s="14"/>
    </row>
    <row r="450" ht="15.75" customHeight="1">
      <c r="B450" s="44"/>
      <c r="C450" s="44"/>
      <c r="F450" s="15"/>
      <c r="J450" s="29"/>
      <c r="N450" s="30"/>
      <c r="O450" s="14"/>
    </row>
    <row r="451" ht="15.75" customHeight="1">
      <c r="B451" s="44"/>
      <c r="C451" s="44"/>
      <c r="F451" s="15"/>
      <c r="J451" s="29"/>
      <c r="N451" s="30"/>
      <c r="O451" s="14"/>
    </row>
    <row r="452" ht="15.75" customHeight="1">
      <c r="B452" s="44"/>
      <c r="C452" s="44"/>
      <c r="F452" s="15"/>
      <c r="J452" s="29"/>
      <c r="N452" s="30"/>
      <c r="O452" s="14"/>
    </row>
    <row r="453" ht="15.75" customHeight="1">
      <c r="B453" s="44"/>
      <c r="C453" s="44"/>
      <c r="F453" s="15"/>
      <c r="J453" s="29"/>
      <c r="N453" s="30"/>
      <c r="O453" s="14"/>
    </row>
    <row r="454" ht="15.75" customHeight="1">
      <c r="B454" s="44"/>
      <c r="C454" s="44"/>
      <c r="F454" s="15"/>
      <c r="J454" s="29"/>
      <c r="N454" s="30"/>
      <c r="O454" s="14"/>
    </row>
    <row r="455" ht="15.75" customHeight="1">
      <c r="B455" s="44"/>
      <c r="C455" s="44"/>
      <c r="F455" s="15"/>
      <c r="J455" s="29"/>
      <c r="N455" s="30"/>
      <c r="O455" s="14"/>
    </row>
    <row r="456" ht="15.75" customHeight="1">
      <c r="B456" s="44"/>
      <c r="C456" s="44"/>
      <c r="F456" s="15"/>
      <c r="J456" s="29"/>
      <c r="N456" s="30"/>
      <c r="O456" s="14"/>
    </row>
    <row r="457" ht="15.75" customHeight="1">
      <c r="B457" s="44"/>
      <c r="C457" s="44"/>
      <c r="F457" s="15"/>
      <c r="J457" s="29"/>
      <c r="N457" s="30"/>
      <c r="O457" s="14"/>
    </row>
    <row r="458" ht="15.75" customHeight="1">
      <c r="B458" s="44"/>
      <c r="C458" s="44"/>
      <c r="F458" s="15"/>
      <c r="J458" s="29"/>
      <c r="N458" s="30"/>
      <c r="O458" s="14"/>
    </row>
    <row r="459" ht="15.75" customHeight="1">
      <c r="B459" s="44"/>
      <c r="C459" s="44"/>
      <c r="F459" s="15"/>
      <c r="J459" s="29"/>
      <c r="N459" s="30"/>
      <c r="O459" s="14"/>
    </row>
    <row r="460" ht="15.75" customHeight="1">
      <c r="B460" s="44"/>
      <c r="C460" s="44"/>
      <c r="F460" s="15"/>
      <c r="J460" s="29"/>
      <c r="N460" s="30"/>
      <c r="O460" s="14"/>
    </row>
    <row r="461" ht="15.75" customHeight="1">
      <c r="B461" s="44"/>
      <c r="C461" s="44"/>
      <c r="F461" s="15"/>
      <c r="J461" s="29"/>
      <c r="N461" s="30"/>
      <c r="O461" s="14"/>
    </row>
    <row r="462" ht="15.75" customHeight="1">
      <c r="B462" s="44"/>
      <c r="C462" s="44"/>
      <c r="F462" s="15"/>
      <c r="J462" s="29"/>
      <c r="N462" s="30"/>
      <c r="O462" s="14"/>
    </row>
    <row r="463" ht="15.75" customHeight="1">
      <c r="B463" s="44"/>
      <c r="C463" s="44"/>
      <c r="F463" s="15"/>
      <c r="J463" s="29"/>
      <c r="N463" s="30"/>
      <c r="O463" s="14"/>
    </row>
    <row r="464" ht="15.75" customHeight="1">
      <c r="B464" s="44"/>
      <c r="C464" s="44"/>
      <c r="F464" s="15"/>
      <c r="J464" s="29"/>
      <c r="N464" s="30"/>
      <c r="O464" s="14"/>
    </row>
    <row r="465" ht="15.75" customHeight="1">
      <c r="B465" s="44"/>
      <c r="C465" s="44"/>
      <c r="F465" s="15"/>
      <c r="J465" s="29"/>
      <c r="N465" s="30"/>
      <c r="O465" s="14"/>
    </row>
    <row r="466" ht="15.75" customHeight="1">
      <c r="B466" s="44"/>
      <c r="C466" s="44"/>
      <c r="F466" s="15"/>
      <c r="J466" s="29"/>
      <c r="N466" s="30"/>
      <c r="O466" s="14"/>
    </row>
    <row r="467" ht="15.75" customHeight="1">
      <c r="B467" s="44"/>
      <c r="C467" s="44"/>
      <c r="F467" s="15"/>
      <c r="J467" s="29"/>
      <c r="N467" s="30"/>
      <c r="O467" s="14"/>
    </row>
    <row r="468" ht="15.75" customHeight="1">
      <c r="B468" s="44"/>
      <c r="C468" s="44"/>
      <c r="F468" s="15"/>
      <c r="J468" s="29"/>
      <c r="N468" s="30"/>
      <c r="O468" s="14"/>
    </row>
    <row r="469" ht="15.75" customHeight="1">
      <c r="B469" s="44"/>
      <c r="C469" s="44"/>
      <c r="F469" s="15"/>
      <c r="J469" s="29"/>
      <c r="N469" s="30"/>
      <c r="O469" s="14"/>
    </row>
    <row r="470" ht="15.75" customHeight="1">
      <c r="B470" s="44"/>
      <c r="C470" s="44"/>
      <c r="F470" s="15"/>
      <c r="J470" s="29"/>
      <c r="N470" s="30"/>
      <c r="O470" s="14"/>
    </row>
    <row r="471" ht="15.75" customHeight="1">
      <c r="B471" s="44"/>
      <c r="C471" s="44"/>
      <c r="F471" s="15"/>
      <c r="J471" s="29"/>
      <c r="N471" s="30"/>
      <c r="O471" s="14"/>
    </row>
    <row r="472" ht="15.75" customHeight="1">
      <c r="B472" s="44"/>
      <c r="C472" s="44"/>
      <c r="F472" s="15"/>
      <c r="J472" s="29"/>
      <c r="N472" s="30"/>
      <c r="O472" s="14"/>
    </row>
    <row r="473" ht="15.75" customHeight="1">
      <c r="B473" s="44"/>
      <c r="C473" s="44"/>
      <c r="F473" s="15"/>
      <c r="J473" s="29"/>
      <c r="N473" s="30"/>
      <c r="O473" s="14"/>
    </row>
    <row r="474" ht="15.75" customHeight="1">
      <c r="B474" s="44"/>
      <c r="C474" s="44"/>
      <c r="F474" s="15"/>
      <c r="J474" s="29"/>
      <c r="N474" s="30"/>
      <c r="O474" s="14"/>
    </row>
    <row r="475" ht="15.75" customHeight="1">
      <c r="B475" s="44"/>
      <c r="C475" s="44"/>
      <c r="F475" s="15"/>
      <c r="J475" s="29"/>
      <c r="N475" s="30"/>
      <c r="O475" s="14"/>
    </row>
    <row r="476" ht="15.75" customHeight="1">
      <c r="B476" s="44"/>
      <c r="C476" s="44"/>
      <c r="F476" s="15"/>
      <c r="J476" s="29"/>
      <c r="N476" s="30"/>
      <c r="O476" s="14"/>
    </row>
    <row r="477" ht="15.75" customHeight="1">
      <c r="B477" s="44"/>
      <c r="C477" s="44"/>
      <c r="F477" s="15"/>
      <c r="J477" s="29"/>
      <c r="N477" s="30"/>
      <c r="O477" s="14"/>
    </row>
    <row r="478" ht="15.75" customHeight="1">
      <c r="B478" s="44"/>
      <c r="C478" s="44"/>
      <c r="F478" s="15"/>
      <c r="J478" s="29"/>
      <c r="N478" s="30"/>
      <c r="O478" s="14"/>
    </row>
    <row r="479" ht="15.75" customHeight="1">
      <c r="B479" s="44"/>
      <c r="C479" s="44"/>
      <c r="F479" s="15"/>
      <c r="J479" s="29"/>
      <c r="N479" s="30"/>
      <c r="O479" s="14"/>
    </row>
    <row r="480" ht="15.75" customHeight="1">
      <c r="B480" s="44"/>
      <c r="C480" s="44"/>
      <c r="F480" s="15"/>
      <c r="J480" s="29"/>
      <c r="N480" s="30"/>
      <c r="O480" s="14"/>
    </row>
    <row r="481" ht="15.75" customHeight="1">
      <c r="B481" s="44"/>
      <c r="C481" s="44"/>
      <c r="F481" s="15"/>
      <c r="J481" s="29"/>
      <c r="N481" s="30"/>
      <c r="O481" s="14"/>
    </row>
    <row r="482" ht="15.75" customHeight="1">
      <c r="B482" s="44"/>
      <c r="C482" s="44"/>
      <c r="F482" s="15"/>
      <c r="J482" s="29"/>
      <c r="N482" s="30"/>
      <c r="O482" s="14"/>
    </row>
    <row r="483" ht="15.75" customHeight="1">
      <c r="B483" s="44"/>
      <c r="C483" s="44"/>
      <c r="F483" s="15"/>
      <c r="J483" s="29"/>
      <c r="N483" s="30"/>
      <c r="O483" s="14"/>
    </row>
    <row r="484" ht="15.75" customHeight="1">
      <c r="B484" s="44"/>
      <c r="C484" s="44"/>
      <c r="F484" s="15"/>
      <c r="J484" s="29"/>
      <c r="N484" s="30"/>
      <c r="O484" s="14"/>
    </row>
    <row r="485" ht="15.75" customHeight="1">
      <c r="B485" s="44"/>
      <c r="C485" s="44"/>
      <c r="F485" s="15"/>
      <c r="J485" s="29"/>
      <c r="N485" s="30"/>
      <c r="O485" s="14"/>
    </row>
    <row r="486" ht="15.75" customHeight="1">
      <c r="B486" s="44"/>
      <c r="C486" s="44"/>
      <c r="F486" s="15"/>
      <c r="J486" s="29"/>
      <c r="N486" s="30"/>
      <c r="O486" s="14"/>
    </row>
    <row r="487" ht="15.75" customHeight="1">
      <c r="B487" s="44"/>
      <c r="C487" s="44"/>
      <c r="F487" s="15"/>
      <c r="J487" s="29"/>
      <c r="N487" s="30"/>
      <c r="O487" s="14"/>
    </row>
    <row r="488" ht="15.75" customHeight="1">
      <c r="B488" s="44"/>
      <c r="C488" s="44"/>
      <c r="F488" s="15"/>
      <c r="J488" s="29"/>
      <c r="N488" s="30"/>
      <c r="O488" s="14"/>
    </row>
    <row r="489" ht="15.75" customHeight="1">
      <c r="B489" s="44"/>
      <c r="C489" s="44"/>
      <c r="F489" s="15"/>
      <c r="J489" s="29"/>
      <c r="N489" s="30"/>
      <c r="O489" s="14"/>
    </row>
    <row r="490" ht="15.75" customHeight="1">
      <c r="B490" s="44"/>
      <c r="C490" s="44"/>
      <c r="F490" s="15"/>
      <c r="J490" s="29"/>
      <c r="N490" s="30"/>
      <c r="O490" s="14"/>
    </row>
    <row r="491" ht="15.75" customHeight="1">
      <c r="B491" s="44"/>
      <c r="C491" s="44"/>
      <c r="F491" s="15"/>
      <c r="J491" s="29"/>
      <c r="N491" s="30"/>
      <c r="O491" s="14"/>
    </row>
    <row r="492" ht="15.75" customHeight="1">
      <c r="B492" s="44"/>
      <c r="C492" s="44"/>
      <c r="F492" s="15"/>
      <c r="J492" s="29"/>
      <c r="N492" s="30"/>
      <c r="O492" s="14"/>
    </row>
    <row r="493" ht="15.75" customHeight="1">
      <c r="B493" s="44"/>
      <c r="C493" s="44"/>
      <c r="F493" s="15"/>
      <c r="J493" s="29"/>
      <c r="N493" s="30"/>
      <c r="O493" s="14"/>
    </row>
    <row r="494" ht="15.75" customHeight="1">
      <c r="B494" s="44"/>
      <c r="C494" s="44"/>
      <c r="F494" s="15"/>
      <c r="J494" s="29"/>
      <c r="N494" s="30"/>
      <c r="O494" s="14"/>
    </row>
    <row r="495" ht="15.75" customHeight="1">
      <c r="B495" s="44"/>
      <c r="C495" s="44"/>
      <c r="F495" s="15"/>
      <c r="J495" s="29"/>
      <c r="N495" s="30"/>
      <c r="O495" s="14"/>
    </row>
    <row r="496" ht="15.75" customHeight="1">
      <c r="B496" s="44"/>
      <c r="C496" s="44"/>
      <c r="F496" s="15"/>
      <c r="J496" s="29"/>
      <c r="N496" s="30"/>
      <c r="O496" s="14"/>
    </row>
    <row r="497" ht="15.75" customHeight="1">
      <c r="B497" s="44"/>
      <c r="C497" s="44"/>
      <c r="F497" s="15"/>
      <c r="J497" s="29"/>
      <c r="N497" s="30"/>
      <c r="O497" s="14"/>
    </row>
    <row r="498" ht="15.75" customHeight="1">
      <c r="B498" s="44"/>
      <c r="C498" s="44"/>
      <c r="F498" s="15"/>
      <c r="J498" s="29"/>
      <c r="N498" s="30"/>
      <c r="O498" s="14"/>
    </row>
    <row r="499" ht="15.75" customHeight="1">
      <c r="B499" s="44"/>
      <c r="C499" s="44"/>
      <c r="F499" s="15"/>
      <c r="J499" s="29"/>
      <c r="N499" s="30"/>
      <c r="O499" s="14"/>
    </row>
    <row r="500" ht="15.75" customHeight="1">
      <c r="B500" s="44"/>
      <c r="C500" s="44"/>
      <c r="F500" s="15"/>
      <c r="J500" s="29"/>
      <c r="N500" s="30"/>
      <c r="O500" s="14"/>
    </row>
    <row r="501" ht="15.75" customHeight="1">
      <c r="B501" s="44"/>
      <c r="C501" s="44"/>
      <c r="F501" s="15"/>
      <c r="J501" s="29"/>
      <c r="N501" s="30"/>
      <c r="O501" s="14"/>
    </row>
    <row r="502" ht="15.75" customHeight="1">
      <c r="B502" s="44"/>
      <c r="C502" s="44"/>
      <c r="F502" s="15"/>
      <c r="J502" s="29"/>
      <c r="N502" s="30"/>
      <c r="O502" s="14"/>
    </row>
    <row r="503" ht="15.75" customHeight="1">
      <c r="B503" s="44"/>
      <c r="C503" s="44"/>
      <c r="F503" s="15"/>
      <c r="J503" s="29"/>
      <c r="N503" s="30"/>
      <c r="O503" s="14"/>
    </row>
    <row r="504" ht="15.75" customHeight="1">
      <c r="B504" s="44"/>
      <c r="C504" s="44"/>
      <c r="F504" s="15"/>
      <c r="J504" s="29"/>
      <c r="N504" s="30"/>
      <c r="O504" s="14"/>
    </row>
    <row r="505" ht="15.75" customHeight="1">
      <c r="B505" s="44"/>
      <c r="C505" s="44"/>
      <c r="F505" s="15"/>
      <c r="J505" s="29"/>
      <c r="N505" s="30"/>
      <c r="O505" s="14"/>
    </row>
    <row r="506" ht="15.75" customHeight="1">
      <c r="B506" s="44"/>
      <c r="C506" s="44"/>
      <c r="F506" s="15"/>
      <c r="J506" s="29"/>
      <c r="N506" s="30"/>
      <c r="O506" s="14"/>
    </row>
    <row r="507" ht="15.75" customHeight="1">
      <c r="B507" s="44"/>
      <c r="C507" s="44"/>
      <c r="F507" s="15"/>
      <c r="J507" s="29"/>
      <c r="N507" s="30"/>
      <c r="O507" s="14"/>
    </row>
    <row r="508" ht="15.75" customHeight="1">
      <c r="B508" s="44"/>
      <c r="C508" s="44"/>
      <c r="F508" s="15"/>
      <c r="J508" s="29"/>
      <c r="N508" s="30"/>
      <c r="O508" s="14"/>
    </row>
    <row r="509" ht="15.75" customHeight="1">
      <c r="B509" s="44"/>
      <c r="C509" s="44"/>
      <c r="F509" s="15"/>
      <c r="J509" s="29"/>
      <c r="N509" s="30"/>
      <c r="O509" s="14"/>
    </row>
    <row r="510" ht="15.75" customHeight="1">
      <c r="B510" s="44"/>
      <c r="C510" s="44"/>
      <c r="F510" s="15"/>
      <c r="J510" s="29"/>
      <c r="N510" s="30"/>
      <c r="O510" s="14"/>
    </row>
    <row r="511" ht="15.75" customHeight="1">
      <c r="B511" s="44"/>
      <c r="C511" s="44"/>
      <c r="F511" s="15"/>
      <c r="J511" s="29"/>
      <c r="N511" s="30"/>
      <c r="O511" s="14"/>
    </row>
    <row r="512" ht="15.75" customHeight="1">
      <c r="B512" s="44"/>
      <c r="C512" s="44"/>
      <c r="F512" s="15"/>
      <c r="J512" s="29"/>
      <c r="N512" s="30"/>
      <c r="O512" s="14"/>
    </row>
    <row r="513" ht="15.75" customHeight="1">
      <c r="B513" s="44"/>
      <c r="C513" s="44"/>
      <c r="F513" s="15"/>
      <c r="J513" s="29"/>
      <c r="N513" s="30"/>
      <c r="O513" s="14"/>
    </row>
    <row r="514" ht="15.75" customHeight="1">
      <c r="B514" s="44"/>
      <c r="C514" s="44"/>
      <c r="F514" s="15"/>
      <c r="J514" s="29"/>
      <c r="N514" s="30"/>
      <c r="O514" s="14"/>
    </row>
    <row r="515" ht="15.75" customHeight="1">
      <c r="B515" s="44"/>
      <c r="C515" s="44"/>
      <c r="F515" s="15"/>
      <c r="J515" s="29"/>
      <c r="N515" s="30"/>
      <c r="O515" s="14"/>
    </row>
    <row r="516" ht="15.75" customHeight="1">
      <c r="B516" s="44"/>
      <c r="C516" s="44"/>
      <c r="F516" s="15"/>
      <c r="J516" s="29"/>
      <c r="N516" s="30"/>
      <c r="O516" s="14"/>
    </row>
    <row r="517" ht="15.75" customHeight="1">
      <c r="B517" s="44"/>
      <c r="C517" s="44"/>
      <c r="F517" s="15"/>
      <c r="J517" s="29"/>
      <c r="N517" s="30"/>
      <c r="O517" s="14"/>
    </row>
    <row r="518" ht="15.75" customHeight="1">
      <c r="B518" s="44"/>
      <c r="C518" s="44"/>
      <c r="F518" s="15"/>
      <c r="J518" s="29"/>
      <c r="N518" s="30"/>
      <c r="O518" s="14"/>
    </row>
    <row r="519" ht="15.75" customHeight="1">
      <c r="B519" s="44"/>
      <c r="C519" s="44"/>
      <c r="F519" s="15"/>
      <c r="J519" s="29"/>
      <c r="N519" s="30"/>
      <c r="O519" s="14"/>
    </row>
    <row r="520" ht="15.75" customHeight="1">
      <c r="B520" s="44"/>
      <c r="C520" s="44"/>
      <c r="F520" s="15"/>
      <c r="J520" s="29"/>
      <c r="N520" s="30"/>
      <c r="O520" s="14"/>
    </row>
    <row r="521" ht="15.75" customHeight="1">
      <c r="B521" s="44"/>
      <c r="C521" s="44"/>
      <c r="F521" s="15"/>
      <c r="J521" s="29"/>
      <c r="N521" s="30"/>
      <c r="O521" s="14"/>
    </row>
    <row r="522" ht="15.75" customHeight="1">
      <c r="B522" s="44"/>
      <c r="C522" s="44"/>
      <c r="F522" s="15"/>
      <c r="J522" s="29"/>
      <c r="N522" s="30"/>
      <c r="O522" s="14"/>
    </row>
    <row r="523" ht="15.75" customHeight="1">
      <c r="B523" s="44"/>
      <c r="C523" s="44"/>
      <c r="F523" s="15"/>
      <c r="J523" s="29"/>
      <c r="N523" s="30"/>
      <c r="O523" s="14"/>
    </row>
    <row r="524" ht="15.75" customHeight="1">
      <c r="B524" s="44"/>
      <c r="C524" s="44"/>
      <c r="F524" s="15"/>
      <c r="J524" s="29"/>
      <c r="N524" s="30"/>
      <c r="O524" s="14"/>
    </row>
    <row r="525" ht="15.75" customHeight="1">
      <c r="B525" s="44"/>
      <c r="C525" s="44"/>
      <c r="F525" s="15"/>
      <c r="J525" s="29"/>
      <c r="N525" s="30"/>
      <c r="O525" s="14"/>
    </row>
    <row r="526" ht="15.75" customHeight="1">
      <c r="B526" s="44"/>
      <c r="C526" s="44"/>
      <c r="F526" s="15"/>
      <c r="J526" s="29"/>
      <c r="N526" s="30"/>
      <c r="O526" s="14"/>
    </row>
    <row r="527" ht="15.75" customHeight="1">
      <c r="B527" s="44"/>
      <c r="C527" s="44"/>
      <c r="F527" s="15"/>
      <c r="J527" s="29"/>
      <c r="N527" s="30"/>
      <c r="O527" s="14"/>
    </row>
    <row r="528" ht="15.75" customHeight="1">
      <c r="B528" s="44"/>
      <c r="C528" s="44"/>
      <c r="F528" s="15"/>
      <c r="J528" s="29"/>
      <c r="N528" s="30"/>
      <c r="O528" s="14"/>
    </row>
    <row r="529" ht="15.75" customHeight="1">
      <c r="B529" s="44"/>
      <c r="C529" s="44"/>
      <c r="F529" s="15"/>
      <c r="J529" s="29"/>
      <c r="N529" s="30"/>
      <c r="O529" s="14"/>
    </row>
    <row r="530" ht="15.75" customHeight="1">
      <c r="B530" s="44"/>
      <c r="C530" s="44"/>
      <c r="F530" s="15"/>
      <c r="J530" s="29"/>
      <c r="N530" s="30"/>
      <c r="O530" s="14"/>
    </row>
    <row r="531" ht="15.75" customHeight="1">
      <c r="B531" s="44"/>
      <c r="C531" s="44"/>
      <c r="F531" s="15"/>
      <c r="J531" s="29"/>
      <c r="N531" s="30"/>
      <c r="O531" s="14"/>
    </row>
    <row r="532" ht="15.75" customHeight="1">
      <c r="B532" s="44"/>
      <c r="C532" s="44"/>
      <c r="F532" s="15"/>
      <c r="J532" s="29"/>
      <c r="N532" s="30"/>
      <c r="O532" s="14"/>
    </row>
    <row r="533" ht="15.75" customHeight="1">
      <c r="B533" s="44"/>
      <c r="C533" s="44"/>
      <c r="F533" s="15"/>
      <c r="J533" s="29"/>
      <c r="N533" s="30"/>
      <c r="O533" s="14"/>
    </row>
    <row r="534" ht="15.75" customHeight="1">
      <c r="B534" s="44"/>
      <c r="C534" s="44"/>
      <c r="F534" s="15"/>
      <c r="J534" s="29"/>
      <c r="N534" s="30"/>
      <c r="O534" s="14"/>
    </row>
    <row r="535" ht="15.75" customHeight="1">
      <c r="B535" s="44"/>
      <c r="C535" s="44"/>
      <c r="F535" s="15"/>
      <c r="J535" s="29"/>
      <c r="N535" s="30"/>
      <c r="O535" s="14"/>
    </row>
    <row r="536" ht="15.75" customHeight="1">
      <c r="B536" s="44"/>
      <c r="C536" s="44"/>
      <c r="F536" s="15"/>
      <c r="J536" s="29"/>
      <c r="N536" s="30"/>
      <c r="O536" s="14"/>
    </row>
    <row r="537" ht="15.75" customHeight="1">
      <c r="B537" s="44"/>
      <c r="C537" s="44"/>
      <c r="F537" s="15"/>
      <c r="J537" s="29"/>
      <c r="N537" s="30"/>
      <c r="O537" s="14"/>
    </row>
    <row r="538" ht="15.75" customHeight="1">
      <c r="B538" s="44"/>
      <c r="C538" s="44"/>
      <c r="F538" s="15"/>
      <c r="J538" s="29"/>
      <c r="N538" s="30"/>
      <c r="O538" s="14"/>
    </row>
    <row r="539" ht="15.75" customHeight="1">
      <c r="B539" s="44"/>
      <c r="C539" s="44"/>
      <c r="F539" s="15"/>
      <c r="J539" s="29"/>
      <c r="N539" s="30"/>
      <c r="O539" s="14"/>
    </row>
    <row r="540" ht="15.75" customHeight="1">
      <c r="B540" s="44"/>
      <c r="C540" s="44"/>
      <c r="F540" s="15"/>
      <c r="J540" s="29"/>
      <c r="N540" s="30"/>
      <c r="O540" s="14"/>
    </row>
    <row r="541" ht="15.75" customHeight="1">
      <c r="B541" s="44"/>
      <c r="C541" s="44"/>
      <c r="F541" s="15"/>
      <c r="J541" s="29"/>
      <c r="N541" s="30"/>
      <c r="O541" s="14"/>
    </row>
    <row r="542" ht="15.75" customHeight="1">
      <c r="B542" s="44"/>
      <c r="C542" s="44"/>
      <c r="F542" s="15"/>
      <c r="J542" s="29"/>
      <c r="N542" s="30"/>
      <c r="O542" s="14"/>
    </row>
    <row r="543" ht="15.75" customHeight="1">
      <c r="B543" s="44"/>
      <c r="C543" s="44"/>
      <c r="F543" s="15"/>
      <c r="J543" s="29"/>
      <c r="N543" s="30"/>
      <c r="O543" s="14"/>
    </row>
    <row r="544" ht="15.75" customHeight="1">
      <c r="B544" s="44"/>
      <c r="C544" s="44"/>
      <c r="F544" s="15"/>
      <c r="J544" s="29"/>
      <c r="N544" s="30"/>
      <c r="O544" s="14"/>
    </row>
    <row r="545" ht="15.75" customHeight="1">
      <c r="B545" s="44"/>
      <c r="C545" s="44"/>
      <c r="F545" s="15"/>
      <c r="J545" s="29"/>
      <c r="N545" s="30"/>
      <c r="O545" s="14"/>
    </row>
    <row r="546" ht="15.75" customHeight="1">
      <c r="B546" s="44"/>
      <c r="C546" s="44"/>
      <c r="F546" s="15"/>
      <c r="J546" s="29"/>
      <c r="N546" s="30"/>
      <c r="O546" s="14"/>
    </row>
    <row r="547" ht="15.75" customHeight="1">
      <c r="B547" s="44"/>
      <c r="C547" s="44"/>
      <c r="F547" s="15"/>
      <c r="J547" s="29"/>
      <c r="N547" s="30"/>
      <c r="O547" s="14"/>
    </row>
    <row r="548" ht="15.75" customHeight="1">
      <c r="B548" s="44"/>
      <c r="C548" s="44"/>
      <c r="F548" s="15"/>
      <c r="J548" s="29"/>
      <c r="N548" s="30"/>
      <c r="O548" s="14"/>
    </row>
    <row r="549" ht="15.75" customHeight="1">
      <c r="B549" s="44"/>
      <c r="C549" s="44"/>
      <c r="F549" s="15"/>
      <c r="J549" s="29"/>
      <c r="N549" s="30"/>
      <c r="O549" s="14"/>
    </row>
    <row r="550" ht="15.75" customHeight="1">
      <c r="B550" s="44"/>
      <c r="C550" s="44"/>
      <c r="F550" s="15"/>
      <c r="J550" s="29"/>
      <c r="N550" s="30"/>
      <c r="O550" s="14"/>
    </row>
    <row r="551" ht="15.75" customHeight="1">
      <c r="B551" s="44"/>
      <c r="C551" s="44"/>
      <c r="F551" s="15"/>
      <c r="J551" s="29"/>
      <c r="N551" s="30"/>
      <c r="O551" s="14"/>
    </row>
    <row r="552" ht="15.75" customHeight="1">
      <c r="B552" s="44"/>
      <c r="C552" s="44"/>
      <c r="F552" s="15"/>
      <c r="J552" s="29"/>
      <c r="N552" s="30"/>
      <c r="O552" s="14"/>
    </row>
    <row r="553" ht="15.75" customHeight="1">
      <c r="B553" s="44"/>
      <c r="C553" s="44"/>
      <c r="F553" s="15"/>
      <c r="J553" s="29"/>
      <c r="N553" s="30"/>
      <c r="O553" s="14"/>
    </row>
    <row r="554" ht="15.75" customHeight="1">
      <c r="B554" s="44"/>
      <c r="C554" s="44"/>
      <c r="F554" s="15"/>
      <c r="J554" s="29"/>
      <c r="N554" s="30"/>
      <c r="O554" s="14"/>
    </row>
    <row r="555" ht="15.75" customHeight="1">
      <c r="B555" s="44"/>
      <c r="C555" s="44"/>
      <c r="F555" s="15"/>
      <c r="J555" s="29"/>
      <c r="N555" s="30"/>
      <c r="O555" s="14"/>
    </row>
    <row r="556" ht="15.75" customHeight="1">
      <c r="B556" s="44"/>
      <c r="C556" s="44"/>
      <c r="F556" s="15"/>
      <c r="J556" s="29"/>
      <c r="N556" s="30"/>
      <c r="O556" s="14"/>
    </row>
    <row r="557" ht="15.75" customHeight="1">
      <c r="B557" s="44"/>
      <c r="C557" s="44"/>
      <c r="F557" s="15"/>
      <c r="J557" s="29"/>
      <c r="N557" s="30"/>
      <c r="O557" s="14"/>
    </row>
    <row r="558" ht="15.75" customHeight="1">
      <c r="B558" s="44"/>
      <c r="C558" s="44"/>
      <c r="F558" s="15"/>
      <c r="J558" s="29"/>
      <c r="N558" s="30"/>
      <c r="O558" s="14"/>
    </row>
    <row r="559" ht="15.75" customHeight="1">
      <c r="B559" s="44"/>
      <c r="C559" s="44"/>
      <c r="F559" s="15"/>
      <c r="J559" s="29"/>
      <c r="N559" s="30"/>
      <c r="O559" s="14"/>
    </row>
    <row r="560" ht="15.75" customHeight="1">
      <c r="B560" s="44"/>
      <c r="C560" s="44"/>
      <c r="F560" s="15"/>
      <c r="J560" s="29"/>
      <c r="N560" s="30"/>
      <c r="O560" s="14"/>
    </row>
    <row r="561" ht="15.75" customHeight="1">
      <c r="B561" s="44"/>
      <c r="C561" s="44"/>
      <c r="F561" s="15"/>
      <c r="J561" s="29"/>
      <c r="N561" s="30"/>
      <c r="O561" s="14"/>
    </row>
    <row r="562" ht="15.75" customHeight="1">
      <c r="B562" s="44"/>
      <c r="C562" s="44"/>
      <c r="F562" s="15"/>
      <c r="J562" s="29"/>
      <c r="N562" s="30"/>
      <c r="O562" s="14"/>
    </row>
    <row r="563" ht="15.75" customHeight="1">
      <c r="B563" s="44"/>
      <c r="C563" s="44"/>
      <c r="F563" s="15"/>
      <c r="J563" s="29"/>
      <c r="N563" s="30"/>
      <c r="O563" s="14"/>
    </row>
    <row r="564" ht="15.75" customHeight="1">
      <c r="B564" s="44"/>
      <c r="C564" s="44"/>
      <c r="F564" s="15"/>
      <c r="J564" s="29"/>
      <c r="N564" s="30"/>
      <c r="O564" s="14"/>
    </row>
    <row r="565" ht="15.75" customHeight="1">
      <c r="B565" s="44"/>
      <c r="C565" s="44"/>
      <c r="F565" s="15"/>
      <c r="J565" s="29"/>
      <c r="N565" s="30"/>
      <c r="O565" s="14"/>
    </row>
    <row r="566" ht="15.75" customHeight="1">
      <c r="B566" s="44"/>
      <c r="C566" s="44"/>
      <c r="F566" s="15"/>
      <c r="J566" s="29"/>
      <c r="N566" s="30"/>
      <c r="O566" s="14"/>
    </row>
    <row r="567" ht="15.75" customHeight="1">
      <c r="B567" s="44"/>
      <c r="C567" s="44"/>
      <c r="F567" s="15"/>
      <c r="J567" s="29"/>
      <c r="N567" s="30"/>
      <c r="O567" s="14"/>
    </row>
    <row r="568" ht="15.75" customHeight="1">
      <c r="B568" s="44"/>
      <c r="C568" s="44"/>
      <c r="F568" s="15"/>
      <c r="J568" s="29"/>
      <c r="N568" s="30"/>
      <c r="O568" s="14"/>
    </row>
    <row r="569" ht="15.75" customHeight="1">
      <c r="B569" s="44"/>
      <c r="C569" s="44"/>
      <c r="F569" s="15"/>
      <c r="J569" s="29"/>
      <c r="N569" s="30"/>
      <c r="O569" s="14"/>
    </row>
    <row r="570" ht="15.75" customHeight="1">
      <c r="B570" s="44"/>
      <c r="C570" s="44"/>
      <c r="F570" s="15"/>
      <c r="J570" s="29"/>
      <c r="N570" s="30"/>
      <c r="O570" s="14"/>
    </row>
    <row r="571" ht="15.75" customHeight="1">
      <c r="B571" s="44"/>
      <c r="C571" s="44"/>
      <c r="F571" s="15"/>
      <c r="J571" s="29"/>
      <c r="N571" s="30"/>
      <c r="O571" s="14"/>
    </row>
    <row r="572" ht="15.75" customHeight="1">
      <c r="B572" s="44"/>
      <c r="C572" s="44"/>
      <c r="F572" s="15"/>
      <c r="J572" s="29"/>
      <c r="N572" s="30"/>
      <c r="O572" s="14"/>
    </row>
    <row r="573" ht="15.75" customHeight="1">
      <c r="B573" s="44"/>
      <c r="C573" s="44"/>
      <c r="F573" s="15"/>
      <c r="J573" s="29"/>
      <c r="N573" s="30"/>
      <c r="O573" s="14"/>
    </row>
    <row r="574" ht="15.75" customHeight="1">
      <c r="B574" s="44"/>
      <c r="C574" s="44"/>
      <c r="F574" s="15"/>
      <c r="J574" s="29"/>
      <c r="N574" s="30"/>
      <c r="O574" s="14"/>
    </row>
    <row r="575" ht="15.75" customHeight="1">
      <c r="B575" s="44"/>
      <c r="C575" s="44"/>
      <c r="F575" s="15"/>
      <c r="J575" s="29"/>
      <c r="N575" s="30"/>
      <c r="O575" s="14"/>
    </row>
    <row r="576" ht="15.75" customHeight="1">
      <c r="B576" s="44"/>
      <c r="C576" s="44"/>
      <c r="F576" s="15"/>
      <c r="J576" s="29"/>
      <c r="N576" s="30"/>
      <c r="O576" s="14"/>
    </row>
    <row r="577" ht="15.75" customHeight="1">
      <c r="B577" s="44"/>
      <c r="C577" s="44"/>
      <c r="F577" s="15"/>
      <c r="J577" s="29"/>
      <c r="N577" s="30"/>
      <c r="O577" s="14"/>
    </row>
    <row r="578" ht="15.75" customHeight="1">
      <c r="B578" s="44"/>
      <c r="C578" s="44"/>
      <c r="F578" s="15"/>
      <c r="J578" s="29"/>
      <c r="N578" s="30"/>
      <c r="O578" s="14"/>
    </row>
    <row r="579" ht="15.75" customHeight="1">
      <c r="B579" s="44"/>
      <c r="C579" s="44"/>
      <c r="F579" s="15"/>
      <c r="J579" s="29"/>
      <c r="N579" s="30"/>
      <c r="O579" s="14"/>
    </row>
    <row r="580" ht="15.75" customHeight="1">
      <c r="B580" s="44"/>
      <c r="C580" s="44"/>
      <c r="F580" s="15"/>
      <c r="J580" s="29"/>
      <c r="N580" s="30"/>
      <c r="O580" s="14"/>
    </row>
    <row r="581" ht="15.75" customHeight="1">
      <c r="B581" s="44"/>
      <c r="C581" s="44"/>
      <c r="F581" s="15"/>
      <c r="J581" s="29"/>
      <c r="N581" s="30"/>
      <c r="O581" s="14"/>
    </row>
    <row r="582" ht="15.75" customHeight="1">
      <c r="B582" s="44"/>
      <c r="C582" s="44"/>
      <c r="F582" s="15"/>
      <c r="J582" s="29"/>
      <c r="N582" s="30"/>
      <c r="O582" s="14"/>
    </row>
    <row r="583" ht="15.75" customHeight="1">
      <c r="B583" s="44"/>
      <c r="C583" s="44"/>
      <c r="F583" s="15"/>
      <c r="J583" s="29"/>
      <c r="N583" s="30"/>
      <c r="O583" s="14"/>
    </row>
    <row r="584" ht="15.75" customHeight="1">
      <c r="B584" s="44"/>
      <c r="C584" s="44"/>
      <c r="F584" s="15"/>
      <c r="J584" s="29"/>
      <c r="N584" s="30"/>
      <c r="O584" s="14"/>
    </row>
    <row r="585" ht="15.75" customHeight="1">
      <c r="B585" s="44"/>
      <c r="C585" s="44"/>
      <c r="F585" s="15"/>
      <c r="J585" s="29"/>
      <c r="N585" s="30"/>
      <c r="O585" s="14"/>
    </row>
    <row r="586" ht="15.75" customHeight="1">
      <c r="B586" s="44"/>
      <c r="C586" s="44"/>
      <c r="F586" s="15"/>
      <c r="J586" s="29"/>
      <c r="N586" s="30"/>
      <c r="O586" s="14"/>
    </row>
    <row r="587" ht="15.75" customHeight="1">
      <c r="B587" s="44"/>
      <c r="C587" s="44"/>
      <c r="F587" s="15"/>
      <c r="J587" s="29"/>
      <c r="N587" s="30"/>
      <c r="O587" s="14"/>
    </row>
    <row r="588" ht="15.75" customHeight="1">
      <c r="B588" s="44"/>
      <c r="C588" s="44"/>
      <c r="F588" s="15"/>
      <c r="J588" s="29"/>
      <c r="N588" s="30"/>
      <c r="O588" s="14"/>
    </row>
    <row r="589" ht="15.75" customHeight="1">
      <c r="B589" s="44"/>
      <c r="C589" s="44"/>
      <c r="F589" s="15"/>
      <c r="J589" s="29"/>
      <c r="N589" s="30"/>
      <c r="O589" s="14"/>
    </row>
    <row r="590" ht="15.75" customHeight="1">
      <c r="B590" s="44"/>
      <c r="C590" s="44"/>
      <c r="F590" s="15"/>
      <c r="J590" s="29"/>
      <c r="N590" s="30"/>
      <c r="O590" s="14"/>
    </row>
    <row r="591" ht="15.75" customHeight="1">
      <c r="B591" s="44"/>
      <c r="C591" s="44"/>
      <c r="F591" s="15"/>
      <c r="J591" s="29"/>
      <c r="N591" s="30"/>
      <c r="O591" s="14"/>
    </row>
    <row r="592" ht="15.75" customHeight="1">
      <c r="B592" s="44"/>
      <c r="C592" s="44"/>
      <c r="F592" s="15"/>
      <c r="J592" s="29"/>
      <c r="N592" s="30"/>
      <c r="O592" s="14"/>
    </row>
    <row r="593" ht="15.75" customHeight="1">
      <c r="B593" s="44"/>
      <c r="C593" s="44"/>
      <c r="F593" s="15"/>
      <c r="J593" s="29"/>
      <c r="N593" s="30"/>
      <c r="O593" s="14"/>
    </row>
    <row r="594" ht="15.75" customHeight="1">
      <c r="B594" s="44"/>
      <c r="C594" s="44"/>
      <c r="F594" s="15"/>
      <c r="J594" s="29"/>
      <c r="N594" s="30"/>
      <c r="O594" s="14"/>
    </row>
    <row r="595" ht="15.75" customHeight="1">
      <c r="B595" s="44"/>
      <c r="C595" s="44"/>
      <c r="F595" s="15"/>
      <c r="J595" s="29"/>
      <c r="N595" s="30"/>
      <c r="O595" s="14"/>
    </row>
    <row r="596" ht="15.75" customHeight="1">
      <c r="B596" s="44"/>
      <c r="C596" s="44"/>
      <c r="F596" s="15"/>
      <c r="J596" s="29"/>
      <c r="N596" s="30"/>
      <c r="O596" s="14"/>
    </row>
    <row r="597" ht="15.75" customHeight="1">
      <c r="B597" s="44"/>
      <c r="C597" s="44"/>
      <c r="F597" s="15"/>
      <c r="J597" s="29"/>
      <c r="N597" s="30"/>
      <c r="O597" s="14"/>
    </row>
    <row r="598" ht="15.75" customHeight="1">
      <c r="B598" s="44"/>
      <c r="C598" s="44"/>
      <c r="F598" s="15"/>
      <c r="J598" s="29"/>
      <c r="N598" s="30"/>
      <c r="O598" s="14"/>
    </row>
    <row r="599" ht="15.75" customHeight="1">
      <c r="B599" s="44"/>
      <c r="C599" s="44"/>
      <c r="F599" s="15"/>
      <c r="J599" s="29"/>
      <c r="N599" s="30"/>
      <c r="O599" s="14"/>
    </row>
    <row r="600" ht="15.75" customHeight="1">
      <c r="B600" s="44"/>
      <c r="C600" s="44"/>
      <c r="F600" s="15"/>
      <c r="J600" s="29"/>
      <c r="N600" s="30"/>
      <c r="O600" s="14"/>
    </row>
    <row r="601" ht="15.75" customHeight="1">
      <c r="B601" s="44"/>
      <c r="C601" s="44"/>
      <c r="F601" s="15"/>
      <c r="J601" s="29"/>
      <c r="N601" s="30"/>
      <c r="O601" s="14"/>
    </row>
    <row r="602" ht="15.75" customHeight="1">
      <c r="B602" s="44"/>
      <c r="C602" s="44"/>
      <c r="F602" s="15"/>
      <c r="J602" s="29"/>
      <c r="N602" s="30"/>
      <c r="O602" s="14"/>
    </row>
    <row r="603" ht="15.75" customHeight="1">
      <c r="B603" s="44"/>
      <c r="C603" s="44"/>
      <c r="F603" s="15"/>
      <c r="J603" s="29"/>
      <c r="N603" s="30"/>
      <c r="O603" s="14"/>
    </row>
    <row r="604" ht="15.75" customHeight="1">
      <c r="B604" s="44"/>
      <c r="C604" s="44"/>
      <c r="F604" s="15"/>
      <c r="J604" s="29"/>
      <c r="N604" s="30"/>
      <c r="O604" s="14"/>
    </row>
    <row r="605" ht="15.75" customHeight="1">
      <c r="B605" s="44"/>
      <c r="C605" s="44"/>
      <c r="F605" s="15"/>
      <c r="J605" s="29"/>
      <c r="N605" s="30"/>
      <c r="O605" s="14"/>
    </row>
    <row r="606" ht="15.75" customHeight="1">
      <c r="B606" s="44"/>
      <c r="C606" s="44"/>
      <c r="F606" s="15"/>
      <c r="J606" s="29"/>
      <c r="N606" s="30"/>
      <c r="O606" s="14"/>
    </row>
    <row r="607" ht="15.75" customHeight="1">
      <c r="B607" s="44"/>
      <c r="C607" s="44"/>
      <c r="F607" s="15"/>
      <c r="J607" s="29"/>
      <c r="N607" s="30"/>
      <c r="O607" s="14"/>
    </row>
    <row r="608" ht="15.75" customHeight="1">
      <c r="B608" s="44"/>
      <c r="C608" s="44"/>
      <c r="F608" s="15"/>
      <c r="J608" s="29"/>
      <c r="N608" s="30"/>
      <c r="O608" s="14"/>
    </row>
    <row r="609" ht="15.75" customHeight="1">
      <c r="B609" s="44"/>
      <c r="C609" s="44"/>
      <c r="F609" s="15"/>
      <c r="J609" s="29"/>
      <c r="N609" s="30"/>
      <c r="O609" s="14"/>
    </row>
    <row r="610" ht="15.75" customHeight="1">
      <c r="B610" s="44"/>
      <c r="C610" s="44"/>
      <c r="F610" s="15"/>
      <c r="J610" s="29"/>
      <c r="N610" s="30"/>
      <c r="O610" s="14"/>
    </row>
    <row r="611" ht="15.75" customHeight="1">
      <c r="B611" s="44"/>
      <c r="C611" s="44"/>
      <c r="F611" s="15"/>
      <c r="J611" s="29"/>
      <c r="N611" s="30"/>
      <c r="O611" s="14"/>
    </row>
    <row r="612" ht="15.75" customHeight="1">
      <c r="B612" s="44"/>
      <c r="C612" s="44"/>
      <c r="F612" s="15"/>
      <c r="J612" s="29"/>
      <c r="N612" s="30"/>
      <c r="O612" s="14"/>
    </row>
    <row r="613" ht="15.75" customHeight="1">
      <c r="B613" s="44"/>
      <c r="C613" s="44"/>
      <c r="F613" s="15"/>
      <c r="J613" s="29"/>
      <c r="N613" s="30"/>
      <c r="O613" s="14"/>
    </row>
    <row r="614" ht="15.75" customHeight="1">
      <c r="B614" s="44"/>
      <c r="C614" s="44"/>
      <c r="F614" s="15"/>
      <c r="J614" s="29"/>
      <c r="N614" s="30"/>
      <c r="O614" s="14"/>
    </row>
    <row r="615" ht="15.75" customHeight="1">
      <c r="B615" s="44"/>
      <c r="C615" s="44"/>
      <c r="F615" s="15"/>
      <c r="J615" s="29"/>
      <c r="N615" s="30"/>
      <c r="O615" s="14"/>
    </row>
    <row r="616" ht="15.75" customHeight="1">
      <c r="B616" s="44"/>
      <c r="C616" s="44"/>
      <c r="F616" s="15"/>
      <c r="J616" s="29"/>
      <c r="N616" s="30"/>
      <c r="O616" s="14"/>
    </row>
    <row r="617" ht="15.75" customHeight="1">
      <c r="B617" s="44"/>
      <c r="C617" s="44"/>
      <c r="F617" s="15"/>
      <c r="J617" s="29"/>
      <c r="N617" s="30"/>
      <c r="O617" s="14"/>
    </row>
    <row r="618" ht="15.75" customHeight="1">
      <c r="B618" s="44"/>
      <c r="C618" s="44"/>
      <c r="F618" s="15"/>
      <c r="J618" s="29"/>
      <c r="N618" s="30"/>
      <c r="O618" s="14"/>
    </row>
    <row r="619" ht="15.75" customHeight="1">
      <c r="B619" s="44"/>
      <c r="C619" s="44"/>
      <c r="F619" s="15"/>
      <c r="J619" s="29"/>
      <c r="N619" s="30"/>
      <c r="O619" s="14"/>
    </row>
    <row r="620" ht="15.75" customHeight="1">
      <c r="B620" s="44"/>
      <c r="C620" s="44"/>
      <c r="F620" s="15"/>
      <c r="J620" s="29"/>
      <c r="N620" s="30"/>
      <c r="O620" s="14"/>
    </row>
    <row r="621" ht="15.75" customHeight="1">
      <c r="B621" s="44"/>
      <c r="C621" s="44"/>
      <c r="F621" s="15"/>
      <c r="J621" s="29"/>
      <c r="N621" s="30"/>
      <c r="O621" s="14"/>
    </row>
    <row r="622" ht="15.75" customHeight="1">
      <c r="B622" s="44"/>
      <c r="C622" s="44"/>
      <c r="F622" s="15"/>
      <c r="J622" s="29"/>
      <c r="N622" s="30"/>
      <c r="O622" s="14"/>
    </row>
    <row r="623" ht="15.75" customHeight="1">
      <c r="B623" s="44"/>
      <c r="C623" s="44"/>
      <c r="F623" s="15"/>
      <c r="J623" s="29"/>
      <c r="N623" s="30"/>
      <c r="O623" s="14"/>
    </row>
    <row r="624" ht="15.75" customHeight="1">
      <c r="B624" s="44"/>
      <c r="C624" s="44"/>
      <c r="F624" s="15"/>
      <c r="J624" s="29"/>
      <c r="N624" s="30"/>
      <c r="O624" s="14"/>
    </row>
    <row r="625" ht="15.75" customHeight="1">
      <c r="B625" s="44"/>
      <c r="C625" s="44"/>
      <c r="F625" s="15"/>
      <c r="J625" s="29"/>
      <c r="N625" s="30"/>
      <c r="O625" s="14"/>
    </row>
    <row r="626" ht="15.75" customHeight="1">
      <c r="B626" s="44"/>
      <c r="C626" s="44"/>
      <c r="F626" s="15"/>
      <c r="J626" s="29"/>
      <c r="N626" s="30"/>
      <c r="O626" s="14"/>
    </row>
    <row r="627" ht="15.75" customHeight="1">
      <c r="B627" s="44"/>
      <c r="C627" s="44"/>
      <c r="F627" s="15"/>
      <c r="J627" s="29"/>
      <c r="N627" s="30"/>
      <c r="O627" s="14"/>
    </row>
    <row r="628" ht="15.75" customHeight="1">
      <c r="B628" s="44"/>
      <c r="C628" s="44"/>
      <c r="F628" s="15"/>
      <c r="J628" s="29"/>
      <c r="N628" s="30"/>
      <c r="O628" s="14"/>
    </row>
    <row r="629" ht="15.75" customHeight="1">
      <c r="B629" s="44"/>
      <c r="C629" s="44"/>
      <c r="F629" s="15"/>
      <c r="J629" s="29"/>
      <c r="N629" s="30"/>
      <c r="O629" s="14"/>
    </row>
    <row r="630" ht="15.75" customHeight="1">
      <c r="B630" s="44"/>
      <c r="C630" s="44"/>
      <c r="F630" s="15"/>
      <c r="J630" s="29"/>
      <c r="N630" s="30"/>
      <c r="O630" s="14"/>
    </row>
    <row r="631" ht="15.75" customHeight="1">
      <c r="B631" s="44"/>
      <c r="C631" s="44"/>
      <c r="F631" s="15"/>
      <c r="J631" s="29"/>
      <c r="N631" s="30"/>
      <c r="O631" s="14"/>
    </row>
    <row r="632" ht="15.75" customHeight="1">
      <c r="B632" s="44"/>
      <c r="C632" s="44"/>
      <c r="F632" s="15"/>
      <c r="J632" s="29"/>
      <c r="N632" s="30"/>
      <c r="O632" s="14"/>
    </row>
    <row r="633" ht="15.75" customHeight="1">
      <c r="B633" s="44"/>
      <c r="C633" s="44"/>
      <c r="F633" s="15"/>
      <c r="J633" s="29"/>
      <c r="N633" s="30"/>
      <c r="O633" s="14"/>
    </row>
    <row r="634" ht="15.75" customHeight="1">
      <c r="B634" s="44"/>
      <c r="C634" s="44"/>
      <c r="F634" s="15"/>
      <c r="J634" s="29"/>
      <c r="N634" s="30"/>
      <c r="O634" s="14"/>
    </row>
    <row r="635" ht="15.75" customHeight="1">
      <c r="B635" s="44"/>
      <c r="C635" s="44"/>
      <c r="F635" s="15"/>
      <c r="J635" s="29"/>
      <c r="N635" s="30"/>
      <c r="O635" s="14"/>
    </row>
    <row r="636" ht="15.75" customHeight="1">
      <c r="B636" s="44"/>
      <c r="C636" s="44"/>
      <c r="F636" s="15"/>
      <c r="J636" s="29"/>
      <c r="N636" s="30"/>
      <c r="O636" s="14"/>
    </row>
    <row r="637" ht="15.75" customHeight="1">
      <c r="B637" s="44"/>
      <c r="C637" s="44"/>
      <c r="F637" s="15"/>
      <c r="J637" s="29"/>
      <c r="N637" s="30"/>
      <c r="O637" s="14"/>
    </row>
    <row r="638" ht="15.75" customHeight="1">
      <c r="B638" s="44"/>
      <c r="C638" s="44"/>
      <c r="F638" s="15"/>
      <c r="J638" s="29"/>
      <c r="N638" s="30"/>
      <c r="O638" s="14"/>
    </row>
    <row r="639" ht="15.75" customHeight="1">
      <c r="B639" s="44"/>
      <c r="C639" s="44"/>
      <c r="F639" s="15"/>
      <c r="J639" s="29"/>
      <c r="N639" s="30"/>
      <c r="O639" s="14"/>
    </row>
    <row r="640" ht="15.75" customHeight="1">
      <c r="B640" s="44"/>
      <c r="C640" s="44"/>
      <c r="F640" s="15"/>
      <c r="J640" s="29"/>
      <c r="N640" s="30"/>
      <c r="O640" s="14"/>
    </row>
    <row r="641" ht="15.75" customHeight="1">
      <c r="B641" s="44"/>
      <c r="C641" s="44"/>
      <c r="F641" s="15"/>
      <c r="J641" s="29"/>
      <c r="N641" s="30"/>
      <c r="O641" s="14"/>
    </row>
    <row r="642" ht="15.75" customHeight="1">
      <c r="B642" s="44"/>
      <c r="C642" s="44"/>
      <c r="F642" s="15"/>
      <c r="J642" s="29"/>
      <c r="N642" s="30"/>
      <c r="O642" s="14"/>
    </row>
    <row r="643" ht="15.75" customHeight="1">
      <c r="B643" s="44"/>
      <c r="C643" s="44"/>
      <c r="F643" s="15"/>
      <c r="J643" s="29"/>
      <c r="N643" s="30"/>
      <c r="O643" s="14"/>
    </row>
    <row r="644" ht="15.75" customHeight="1">
      <c r="B644" s="44"/>
      <c r="C644" s="44"/>
      <c r="F644" s="15"/>
      <c r="J644" s="29"/>
      <c r="N644" s="30"/>
      <c r="O644" s="14"/>
    </row>
    <row r="645" ht="15.75" customHeight="1">
      <c r="B645" s="44"/>
      <c r="C645" s="44"/>
      <c r="F645" s="15"/>
      <c r="J645" s="29"/>
      <c r="N645" s="30"/>
      <c r="O645" s="14"/>
    </row>
    <row r="646" ht="15.75" customHeight="1">
      <c r="B646" s="44"/>
      <c r="C646" s="44"/>
      <c r="F646" s="15"/>
      <c r="J646" s="29"/>
      <c r="N646" s="30"/>
      <c r="O646" s="14"/>
    </row>
    <row r="647" ht="15.75" customHeight="1">
      <c r="B647" s="44"/>
      <c r="C647" s="44"/>
      <c r="F647" s="15"/>
      <c r="J647" s="29"/>
      <c r="N647" s="30"/>
      <c r="O647" s="14"/>
    </row>
    <row r="648" ht="15.75" customHeight="1">
      <c r="B648" s="44"/>
      <c r="C648" s="44"/>
      <c r="F648" s="15"/>
      <c r="J648" s="29"/>
      <c r="N648" s="30"/>
      <c r="O648" s="14"/>
    </row>
    <row r="649" ht="15.75" customHeight="1">
      <c r="B649" s="44"/>
      <c r="C649" s="44"/>
      <c r="F649" s="15"/>
      <c r="J649" s="29"/>
      <c r="N649" s="30"/>
      <c r="O649" s="14"/>
    </row>
    <row r="650" ht="15.75" customHeight="1">
      <c r="B650" s="44"/>
      <c r="C650" s="44"/>
      <c r="F650" s="15"/>
      <c r="J650" s="29"/>
      <c r="N650" s="30"/>
      <c r="O650" s="14"/>
    </row>
    <row r="651" ht="15.75" customHeight="1">
      <c r="B651" s="44"/>
      <c r="C651" s="44"/>
      <c r="F651" s="15"/>
      <c r="J651" s="29"/>
      <c r="N651" s="30"/>
      <c r="O651" s="14"/>
    </row>
    <row r="652" ht="15.75" customHeight="1">
      <c r="B652" s="44"/>
      <c r="C652" s="44"/>
      <c r="F652" s="15"/>
      <c r="J652" s="29"/>
      <c r="N652" s="30"/>
      <c r="O652" s="14"/>
    </row>
    <row r="653" ht="15.75" customHeight="1">
      <c r="B653" s="44"/>
      <c r="C653" s="44"/>
      <c r="F653" s="15"/>
      <c r="J653" s="29"/>
      <c r="N653" s="30"/>
      <c r="O653" s="14"/>
    </row>
    <row r="654" ht="15.75" customHeight="1">
      <c r="B654" s="44"/>
      <c r="C654" s="44"/>
      <c r="F654" s="15"/>
      <c r="J654" s="29"/>
      <c r="N654" s="30"/>
      <c r="O654" s="14"/>
    </row>
    <row r="655" ht="15.75" customHeight="1">
      <c r="B655" s="44"/>
      <c r="C655" s="44"/>
      <c r="F655" s="15"/>
      <c r="J655" s="29"/>
      <c r="N655" s="30"/>
      <c r="O655" s="14"/>
    </row>
    <row r="656" ht="15.75" customHeight="1">
      <c r="B656" s="44"/>
      <c r="C656" s="44"/>
      <c r="F656" s="15"/>
      <c r="J656" s="29"/>
      <c r="N656" s="30"/>
      <c r="O656" s="14"/>
    </row>
    <row r="657" ht="15.75" customHeight="1">
      <c r="B657" s="44"/>
      <c r="C657" s="44"/>
      <c r="F657" s="15"/>
      <c r="J657" s="29"/>
      <c r="N657" s="30"/>
      <c r="O657" s="14"/>
    </row>
    <row r="658" ht="15.75" customHeight="1">
      <c r="B658" s="44"/>
      <c r="C658" s="44"/>
      <c r="F658" s="15"/>
      <c r="J658" s="29"/>
      <c r="N658" s="30"/>
      <c r="O658" s="14"/>
    </row>
    <row r="659" ht="15.75" customHeight="1">
      <c r="B659" s="44"/>
      <c r="C659" s="44"/>
      <c r="F659" s="15"/>
      <c r="J659" s="29"/>
      <c r="N659" s="30"/>
      <c r="O659" s="14"/>
    </row>
    <row r="660" ht="15.75" customHeight="1">
      <c r="B660" s="44"/>
      <c r="C660" s="44"/>
      <c r="F660" s="15"/>
      <c r="J660" s="29"/>
      <c r="N660" s="30"/>
      <c r="O660" s="14"/>
    </row>
    <row r="661" ht="15.75" customHeight="1">
      <c r="B661" s="44"/>
      <c r="C661" s="44"/>
      <c r="F661" s="15"/>
      <c r="J661" s="29"/>
      <c r="N661" s="30"/>
      <c r="O661" s="14"/>
    </row>
    <row r="662" ht="15.75" customHeight="1">
      <c r="B662" s="44"/>
      <c r="C662" s="44"/>
      <c r="F662" s="15"/>
      <c r="J662" s="29"/>
      <c r="N662" s="30"/>
      <c r="O662" s="14"/>
    </row>
    <row r="663" ht="15.75" customHeight="1">
      <c r="B663" s="44"/>
      <c r="C663" s="44"/>
      <c r="F663" s="15"/>
      <c r="J663" s="29"/>
      <c r="N663" s="30"/>
      <c r="O663" s="14"/>
    </row>
    <row r="664" ht="15.75" customHeight="1">
      <c r="B664" s="44"/>
      <c r="C664" s="44"/>
      <c r="F664" s="15"/>
      <c r="J664" s="29"/>
      <c r="N664" s="30"/>
      <c r="O664" s="14"/>
    </row>
    <row r="665" ht="15.75" customHeight="1">
      <c r="B665" s="44"/>
      <c r="C665" s="44"/>
      <c r="F665" s="15"/>
      <c r="J665" s="29"/>
      <c r="N665" s="30"/>
      <c r="O665" s="14"/>
    </row>
    <row r="666" ht="15.75" customHeight="1">
      <c r="B666" s="44"/>
      <c r="C666" s="44"/>
      <c r="F666" s="15"/>
      <c r="J666" s="29"/>
      <c r="N666" s="30"/>
      <c r="O666" s="14"/>
    </row>
    <row r="667" ht="15.75" customHeight="1">
      <c r="B667" s="44"/>
      <c r="C667" s="44"/>
      <c r="F667" s="15"/>
      <c r="J667" s="29"/>
      <c r="N667" s="30"/>
      <c r="O667" s="14"/>
    </row>
    <row r="668" ht="15.75" customHeight="1">
      <c r="B668" s="44"/>
      <c r="C668" s="44"/>
      <c r="F668" s="15"/>
      <c r="J668" s="29"/>
      <c r="N668" s="30"/>
      <c r="O668" s="14"/>
    </row>
    <row r="669" ht="15.75" customHeight="1">
      <c r="B669" s="44"/>
      <c r="C669" s="44"/>
      <c r="F669" s="15"/>
      <c r="J669" s="29"/>
      <c r="N669" s="30"/>
      <c r="O669" s="14"/>
    </row>
    <row r="670" ht="15.75" customHeight="1">
      <c r="B670" s="44"/>
      <c r="C670" s="44"/>
      <c r="F670" s="15"/>
      <c r="J670" s="29"/>
      <c r="N670" s="30"/>
      <c r="O670" s="14"/>
    </row>
    <row r="671" ht="15.75" customHeight="1">
      <c r="B671" s="44"/>
      <c r="C671" s="44"/>
      <c r="F671" s="15"/>
      <c r="J671" s="29"/>
      <c r="N671" s="30"/>
      <c r="O671" s="14"/>
    </row>
    <row r="672" ht="15.75" customHeight="1">
      <c r="B672" s="44"/>
      <c r="C672" s="44"/>
      <c r="F672" s="15"/>
      <c r="J672" s="29"/>
      <c r="N672" s="30"/>
      <c r="O672" s="14"/>
    </row>
    <row r="673" ht="15.75" customHeight="1">
      <c r="B673" s="44"/>
      <c r="C673" s="44"/>
      <c r="F673" s="15"/>
      <c r="J673" s="29"/>
      <c r="N673" s="30"/>
      <c r="O673" s="14"/>
    </row>
    <row r="674" ht="15.75" customHeight="1">
      <c r="B674" s="44"/>
      <c r="C674" s="44"/>
      <c r="F674" s="15"/>
      <c r="J674" s="29"/>
      <c r="N674" s="30"/>
      <c r="O674" s="14"/>
    </row>
    <row r="675" ht="15.75" customHeight="1">
      <c r="B675" s="44"/>
      <c r="C675" s="44"/>
      <c r="F675" s="15"/>
      <c r="J675" s="29"/>
      <c r="N675" s="30"/>
      <c r="O675" s="14"/>
    </row>
    <row r="676" ht="15.75" customHeight="1">
      <c r="B676" s="44"/>
      <c r="C676" s="44"/>
      <c r="F676" s="15"/>
      <c r="J676" s="29"/>
      <c r="N676" s="30"/>
      <c r="O676" s="14"/>
    </row>
    <row r="677" ht="15.75" customHeight="1">
      <c r="B677" s="44"/>
      <c r="C677" s="44"/>
      <c r="F677" s="15"/>
      <c r="J677" s="29"/>
      <c r="N677" s="30"/>
      <c r="O677" s="14"/>
    </row>
    <row r="678" ht="15.75" customHeight="1">
      <c r="B678" s="44"/>
      <c r="C678" s="44"/>
      <c r="F678" s="15"/>
      <c r="J678" s="29"/>
      <c r="N678" s="30"/>
      <c r="O678" s="14"/>
    </row>
    <row r="679" ht="15.75" customHeight="1">
      <c r="B679" s="44"/>
      <c r="C679" s="44"/>
      <c r="F679" s="15"/>
      <c r="J679" s="29"/>
      <c r="N679" s="30"/>
      <c r="O679" s="14"/>
    </row>
    <row r="680" ht="15.75" customHeight="1">
      <c r="B680" s="44"/>
      <c r="C680" s="44"/>
      <c r="F680" s="15"/>
      <c r="J680" s="29"/>
      <c r="N680" s="30"/>
      <c r="O680" s="14"/>
    </row>
    <row r="681" ht="15.75" customHeight="1">
      <c r="B681" s="44"/>
      <c r="C681" s="44"/>
      <c r="F681" s="15"/>
      <c r="J681" s="29"/>
      <c r="N681" s="30"/>
      <c r="O681" s="14"/>
    </row>
    <row r="682" ht="15.75" customHeight="1">
      <c r="B682" s="44"/>
      <c r="C682" s="44"/>
      <c r="F682" s="15"/>
      <c r="J682" s="29"/>
      <c r="N682" s="30"/>
      <c r="O682" s="14"/>
    </row>
    <row r="683" ht="15.75" customHeight="1">
      <c r="B683" s="44"/>
      <c r="C683" s="44"/>
      <c r="F683" s="15"/>
      <c r="J683" s="29"/>
      <c r="N683" s="30"/>
      <c r="O683" s="14"/>
    </row>
    <row r="684" ht="15.75" customHeight="1">
      <c r="B684" s="44"/>
      <c r="C684" s="44"/>
      <c r="F684" s="15"/>
      <c r="J684" s="29"/>
      <c r="N684" s="30"/>
      <c r="O684" s="14"/>
    </row>
    <row r="685" ht="15.75" customHeight="1">
      <c r="B685" s="44"/>
      <c r="C685" s="44"/>
      <c r="F685" s="15"/>
      <c r="J685" s="29"/>
      <c r="N685" s="30"/>
      <c r="O685" s="14"/>
    </row>
    <row r="686" ht="15.75" customHeight="1">
      <c r="B686" s="44"/>
      <c r="C686" s="44"/>
      <c r="F686" s="15"/>
      <c r="J686" s="29"/>
      <c r="N686" s="30"/>
      <c r="O686" s="14"/>
    </row>
    <row r="687" ht="15.75" customHeight="1">
      <c r="B687" s="44"/>
      <c r="C687" s="44"/>
      <c r="F687" s="15"/>
      <c r="J687" s="29"/>
      <c r="N687" s="30"/>
      <c r="O687" s="14"/>
    </row>
    <row r="688" ht="15.75" customHeight="1">
      <c r="B688" s="44"/>
      <c r="C688" s="44"/>
      <c r="F688" s="15"/>
      <c r="J688" s="29"/>
      <c r="N688" s="30"/>
      <c r="O688" s="14"/>
    </row>
    <row r="689" ht="15.75" customHeight="1">
      <c r="B689" s="44"/>
      <c r="C689" s="44"/>
      <c r="F689" s="15"/>
      <c r="J689" s="29"/>
      <c r="N689" s="30"/>
      <c r="O689" s="14"/>
    </row>
    <row r="690" ht="15.75" customHeight="1">
      <c r="B690" s="44"/>
      <c r="C690" s="44"/>
      <c r="F690" s="15"/>
      <c r="J690" s="29"/>
      <c r="N690" s="30"/>
      <c r="O690" s="14"/>
    </row>
    <row r="691" ht="15.75" customHeight="1">
      <c r="B691" s="44"/>
      <c r="C691" s="44"/>
      <c r="F691" s="15"/>
      <c r="J691" s="29"/>
      <c r="N691" s="30"/>
      <c r="O691" s="14"/>
    </row>
    <row r="692" ht="15.75" customHeight="1">
      <c r="B692" s="44"/>
      <c r="C692" s="44"/>
      <c r="F692" s="15"/>
      <c r="J692" s="29"/>
      <c r="N692" s="30"/>
      <c r="O692" s="14"/>
    </row>
    <row r="693" ht="15.75" customHeight="1">
      <c r="B693" s="44"/>
      <c r="C693" s="44"/>
      <c r="F693" s="15"/>
      <c r="J693" s="29"/>
      <c r="N693" s="30"/>
      <c r="O693" s="14"/>
    </row>
    <row r="694" ht="15.75" customHeight="1">
      <c r="B694" s="44"/>
      <c r="C694" s="44"/>
      <c r="F694" s="15"/>
      <c r="J694" s="29"/>
      <c r="N694" s="30"/>
      <c r="O694" s="14"/>
    </row>
    <row r="695" ht="15.75" customHeight="1">
      <c r="B695" s="44"/>
      <c r="C695" s="44"/>
      <c r="F695" s="15"/>
      <c r="J695" s="29"/>
      <c r="N695" s="30"/>
      <c r="O695" s="14"/>
    </row>
    <row r="696" ht="15.75" customHeight="1">
      <c r="B696" s="44"/>
      <c r="C696" s="44"/>
      <c r="F696" s="15"/>
      <c r="J696" s="29"/>
      <c r="N696" s="30"/>
      <c r="O696" s="14"/>
    </row>
    <row r="697" ht="15.75" customHeight="1">
      <c r="B697" s="44"/>
      <c r="C697" s="44"/>
      <c r="F697" s="15"/>
      <c r="J697" s="29"/>
      <c r="N697" s="30"/>
      <c r="O697" s="14"/>
    </row>
    <row r="698" ht="15.75" customHeight="1">
      <c r="B698" s="44"/>
      <c r="C698" s="44"/>
      <c r="F698" s="15"/>
      <c r="J698" s="29"/>
      <c r="N698" s="30"/>
      <c r="O698" s="14"/>
    </row>
    <row r="699" ht="15.75" customHeight="1">
      <c r="B699" s="44"/>
      <c r="C699" s="44"/>
      <c r="F699" s="15"/>
      <c r="J699" s="29"/>
      <c r="N699" s="30"/>
      <c r="O699" s="14"/>
    </row>
    <row r="700" ht="15.75" customHeight="1">
      <c r="B700" s="44"/>
      <c r="C700" s="44"/>
      <c r="F700" s="15"/>
      <c r="J700" s="29"/>
      <c r="N700" s="30"/>
      <c r="O700" s="14"/>
    </row>
    <row r="701" ht="15.75" customHeight="1">
      <c r="B701" s="44"/>
      <c r="C701" s="44"/>
      <c r="F701" s="15"/>
      <c r="J701" s="29"/>
      <c r="N701" s="30"/>
      <c r="O701" s="14"/>
    </row>
    <row r="702" ht="15.75" customHeight="1">
      <c r="B702" s="44"/>
      <c r="C702" s="44"/>
      <c r="F702" s="15"/>
      <c r="J702" s="29"/>
      <c r="N702" s="30"/>
      <c r="O702" s="14"/>
    </row>
    <row r="703" ht="15.75" customHeight="1">
      <c r="B703" s="44"/>
      <c r="C703" s="44"/>
      <c r="F703" s="15"/>
      <c r="J703" s="29"/>
      <c r="N703" s="30"/>
      <c r="O703" s="14"/>
    </row>
    <row r="704" ht="15.75" customHeight="1">
      <c r="B704" s="44"/>
      <c r="C704" s="44"/>
      <c r="F704" s="15"/>
      <c r="J704" s="29"/>
      <c r="N704" s="30"/>
      <c r="O704" s="14"/>
    </row>
    <row r="705" ht="15.75" customHeight="1">
      <c r="B705" s="44"/>
      <c r="C705" s="44"/>
      <c r="F705" s="15"/>
      <c r="J705" s="29"/>
      <c r="N705" s="30"/>
      <c r="O705" s="14"/>
    </row>
    <row r="706" ht="15.75" customHeight="1">
      <c r="B706" s="44"/>
      <c r="C706" s="44"/>
      <c r="F706" s="15"/>
      <c r="J706" s="29"/>
      <c r="N706" s="30"/>
      <c r="O706" s="14"/>
    </row>
    <row r="707" ht="15.75" customHeight="1">
      <c r="B707" s="44"/>
      <c r="C707" s="44"/>
      <c r="F707" s="15"/>
      <c r="J707" s="29"/>
      <c r="N707" s="30"/>
      <c r="O707" s="14"/>
    </row>
    <row r="708" ht="15.75" customHeight="1">
      <c r="B708" s="44"/>
      <c r="C708" s="44"/>
      <c r="F708" s="15"/>
      <c r="J708" s="29"/>
      <c r="N708" s="30"/>
      <c r="O708" s="14"/>
    </row>
    <row r="709" ht="15.75" customHeight="1">
      <c r="B709" s="44"/>
      <c r="C709" s="44"/>
      <c r="F709" s="15"/>
      <c r="J709" s="29"/>
      <c r="N709" s="30"/>
      <c r="O709" s="14"/>
    </row>
    <row r="710" ht="15.75" customHeight="1">
      <c r="B710" s="44"/>
      <c r="C710" s="44"/>
      <c r="F710" s="15"/>
      <c r="J710" s="29"/>
      <c r="N710" s="30"/>
      <c r="O710" s="14"/>
    </row>
    <row r="711" ht="15.75" customHeight="1">
      <c r="B711" s="44"/>
      <c r="C711" s="44"/>
      <c r="F711" s="15"/>
      <c r="J711" s="29"/>
      <c r="N711" s="30"/>
      <c r="O711" s="14"/>
    </row>
    <row r="712" ht="15.75" customHeight="1">
      <c r="B712" s="44"/>
      <c r="C712" s="44"/>
      <c r="F712" s="15"/>
      <c r="J712" s="29"/>
      <c r="N712" s="30"/>
      <c r="O712" s="14"/>
    </row>
    <row r="713" ht="15.75" customHeight="1">
      <c r="B713" s="44"/>
      <c r="C713" s="44"/>
      <c r="F713" s="15"/>
      <c r="J713" s="29"/>
      <c r="N713" s="30"/>
      <c r="O713" s="14"/>
    </row>
    <row r="714" ht="15.75" customHeight="1">
      <c r="B714" s="44"/>
      <c r="C714" s="44"/>
      <c r="F714" s="15"/>
      <c r="J714" s="29"/>
      <c r="N714" s="30"/>
      <c r="O714" s="14"/>
    </row>
    <row r="715" ht="15.75" customHeight="1">
      <c r="B715" s="44"/>
      <c r="C715" s="44"/>
      <c r="F715" s="15"/>
      <c r="J715" s="29"/>
      <c r="N715" s="30"/>
      <c r="O715" s="14"/>
    </row>
    <row r="716" ht="15.75" customHeight="1">
      <c r="B716" s="44"/>
      <c r="C716" s="44"/>
      <c r="F716" s="15"/>
      <c r="J716" s="29"/>
      <c r="N716" s="30"/>
      <c r="O716" s="14"/>
    </row>
    <row r="717" ht="15.75" customHeight="1">
      <c r="B717" s="44"/>
      <c r="C717" s="44"/>
      <c r="F717" s="15"/>
      <c r="J717" s="29"/>
      <c r="N717" s="30"/>
      <c r="O717" s="14"/>
    </row>
    <row r="718" ht="15.75" customHeight="1">
      <c r="B718" s="44"/>
      <c r="C718" s="44"/>
      <c r="F718" s="15"/>
      <c r="J718" s="29"/>
      <c r="N718" s="30"/>
      <c r="O718" s="14"/>
    </row>
    <row r="719" ht="15.75" customHeight="1">
      <c r="B719" s="44"/>
      <c r="C719" s="44"/>
      <c r="F719" s="15"/>
      <c r="J719" s="29"/>
      <c r="N719" s="30"/>
      <c r="O719" s="14"/>
    </row>
    <row r="720" ht="15.75" customHeight="1">
      <c r="B720" s="44"/>
      <c r="C720" s="44"/>
      <c r="F720" s="15"/>
      <c r="J720" s="29"/>
      <c r="N720" s="30"/>
      <c r="O720" s="14"/>
    </row>
    <row r="721" ht="15.75" customHeight="1">
      <c r="B721" s="44"/>
      <c r="C721" s="44"/>
      <c r="F721" s="15"/>
      <c r="J721" s="29"/>
      <c r="N721" s="30"/>
      <c r="O721" s="14"/>
    </row>
    <row r="722" ht="15.75" customHeight="1">
      <c r="B722" s="44"/>
      <c r="C722" s="44"/>
      <c r="F722" s="15"/>
      <c r="J722" s="29"/>
      <c r="N722" s="30"/>
      <c r="O722" s="14"/>
    </row>
    <row r="723" ht="15.75" customHeight="1">
      <c r="B723" s="44"/>
      <c r="C723" s="44"/>
      <c r="F723" s="15"/>
      <c r="J723" s="29"/>
      <c r="N723" s="30"/>
      <c r="O723" s="14"/>
    </row>
    <row r="724" ht="15.75" customHeight="1">
      <c r="B724" s="44"/>
      <c r="C724" s="44"/>
      <c r="F724" s="15"/>
      <c r="J724" s="29"/>
      <c r="N724" s="30"/>
      <c r="O724" s="14"/>
    </row>
    <row r="725" ht="15.75" customHeight="1">
      <c r="B725" s="44"/>
      <c r="C725" s="44"/>
      <c r="F725" s="15"/>
      <c r="J725" s="29"/>
      <c r="N725" s="30"/>
      <c r="O725" s="14"/>
    </row>
    <row r="726" ht="15.75" customHeight="1">
      <c r="B726" s="44"/>
      <c r="C726" s="44"/>
      <c r="F726" s="15"/>
      <c r="J726" s="29"/>
      <c r="N726" s="30"/>
      <c r="O726" s="14"/>
    </row>
    <row r="727" ht="15.75" customHeight="1">
      <c r="B727" s="44"/>
      <c r="C727" s="44"/>
      <c r="F727" s="15"/>
      <c r="J727" s="29"/>
      <c r="N727" s="30"/>
      <c r="O727" s="14"/>
    </row>
    <row r="728" ht="15.75" customHeight="1">
      <c r="B728" s="44"/>
      <c r="C728" s="44"/>
      <c r="F728" s="15"/>
      <c r="J728" s="29"/>
      <c r="N728" s="30"/>
      <c r="O728" s="14"/>
    </row>
    <row r="729" ht="15.75" customHeight="1">
      <c r="B729" s="44"/>
      <c r="C729" s="44"/>
      <c r="F729" s="15"/>
      <c r="J729" s="29"/>
      <c r="N729" s="30"/>
      <c r="O729" s="14"/>
    </row>
    <row r="730" ht="15.75" customHeight="1">
      <c r="B730" s="44"/>
      <c r="C730" s="44"/>
      <c r="F730" s="15"/>
      <c r="J730" s="29"/>
      <c r="N730" s="30"/>
      <c r="O730" s="14"/>
    </row>
    <row r="731" ht="15.75" customHeight="1">
      <c r="B731" s="44"/>
      <c r="C731" s="44"/>
      <c r="F731" s="15"/>
      <c r="J731" s="29"/>
      <c r="N731" s="30"/>
      <c r="O731" s="14"/>
    </row>
    <row r="732" ht="15.75" customHeight="1">
      <c r="B732" s="44"/>
      <c r="C732" s="44"/>
      <c r="F732" s="15"/>
      <c r="J732" s="29"/>
      <c r="N732" s="30"/>
      <c r="O732" s="14"/>
    </row>
    <row r="733" ht="15.75" customHeight="1">
      <c r="B733" s="44"/>
      <c r="C733" s="44"/>
      <c r="F733" s="15"/>
      <c r="J733" s="29"/>
      <c r="N733" s="30"/>
      <c r="O733" s="14"/>
    </row>
    <row r="734" ht="15.75" customHeight="1">
      <c r="B734" s="44"/>
      <c r="C734" s="44"/>
      <c r="F734" s="15"/>
      <c r="J734" s="29"/>
      <c r="N734" s="30"/>
      <c r="O734" s="14"/>
    </row>
    <row r="735" ht="15.75" customHeight="1">
      <c r="B735" s="44"/>
      <c r="C735" s="44"/>
      <c r="F735" s="15"/>
      <c r="J735" s="29"/>
      <c r="N735" s="30"/>
      <c r="O735" s="14"/>
    </row>
    <row r="736" ht="15.75" customHeight="1">
      <c r="B736" s="44"/>
      <c r="C736" s="44"/>
      <c r="F736" s="15"/>
      <c r="J736" s="29"/>
      <c r="N736" s="30"/>
      <c r="O736" s="14"/>
    </row>
    <row r="737" ht="15.75" customHeight="1">
      <c r="B737" s="44"/>
      <c r="C737" s="44"/>
      <c r="F737" s="15"/>
      <c r="J737" s="29"/>
      <c r="N737" s="30"/>
      <c r="O737" s="14"/>
    </row>
    <row r="738" ht="15.75" customHeight="1">
      <c r="B738" s="44"/>
      <c r="C738" s="44"/>
      <c r="F738" s="15"/>
      <c r="J738" s="29"/>
      <c r="N738" s="30"/>
      <c r="O738" s="14"/>
    </row>
    <row r="739" ht="15.75" customHeight="1">
      <c r="B739" s="44"/>
      <c r="C739" s="44"/>
      <c r="F739" s="15"/>
      <c r="J739" s="29"/>
      <c r="N739" s="30"/>
      <c r="O739" s="14"/>
    </row>
    <row r="740" ht="15.75" customHeight="1">
      <c r="B740" s="44"/>
      <c r="C740" s="44"/>
      <c r="F740" s="15"/>
      <c r="J740" s="29"/>
      <c r="N740" s="30"/>
      <c r="O740" s="14"/>
    </row>
    <row r="741" ht="15.75" customHeight="1">
      <c r="B741" s="44"/>
      <c r="C741" s="44"/>
      <c r="F741" s="15"/>
      <c r="J741" s="29"/>
      <c r="N741" s="30"/>
      <c r="O741" s="14"/>
    </row>
    <row r="742" ht="15.75" customHeight="1">
      <c r="B742" s="44"/>
      <c r="C742" s="44"/>
      <c r="F742" s="15"/>
      <c r="J742" s="29"/>
      <c r="N742" s="30"/>
      <c r="O742" s="14"/>
    </row>
    <row r="743" ht="15.75" customHeight="1">
      <c r="B743" s="44"/>
      <c r="C743" s="44"/>
      <c r="F743" s="15"/>
      <c r="J743" s="29"/>
      <c r="N743" s="30"/>
      <c r="O743" s="14"/>
    </row>
    <row r="744" ht="15.75" customHeight="1">
      <c r="B744" s="44"/>
      <c r="C744" s="44"/>
      <c r="F744" s="15"/>
      <c r="J744" s="29"/>
      <c r="N744" s="30"/>
      <c r="O744" s="14"/>
    </row>
    <row r="745" ht="15.75" customHeight="1">
      <c r="B745" s="44"/>
      <c r="C745" s="44"/>
      <c r="F745" s="15"/>
      <c r="J745" s="29"/>
      <c r="N745" s="30"/>
      <c r="O745" s="14"/>
    </row>
    <row r="746" ht="15.75" customHeight="1">
      <c r="B746" s="44"/>
      <c r="C746" s="44"/>
      <c r="F746" s="15"/>
      <c r="J746" s="29"/>
      <c r="N746" s="30"/>
      <c r="O746" s="14"/>
    </row>
    <row r="747" ht="15.75" customHeight="1">
      <c r="B747" s="44"/>
      <c r="C747" s="44"/>
      <c r="F747" s="15"/>
      <c r="J747" s="29"/>
      <c r="N747" s="30"/>
      <c r="O747" s="14"/>
    </row>
    <row r="748" ht="15.75" customHeight="1">
      <c r="B748" s="44"/>
      <c r="C748" s="44"/>
      <c r="F748" s="15"/>
      <c r="J748" s="29"/>
      <c r="N748" s="30"/>
      <c r="O748" s="14"/>
    </row>
    <row r="749" ht="15.75" customHeight="1">
      <c r="B749" s="44"/>
      <c r="C749" s="44"/>
      <c r="F749" s="15"/>
      <c r="J749" s="29"/>
      <c r="N749" s="30"/>
      <c r="O749" s="14"/>
    </row>
    <row r="750" ht="15.75" customHeight="1">
      <c r="B750" s="44"/>
      <c r="C750" s="44"/>
      <c r="F750" s="15"/>
      <c r="J750" s="29"/>
      <c r="N750" s="30"/>
      <c r="O750" s="14"/>
    </row>
    <row r="751" ht="15.75" customHeight="1">
      <c r="B751" s="44"/>
      <c r="C751" s="44"/>
      <c r="F751" s="15"/>
      <c r="J751" s="29"/>
      <c r="N751" s="30"/>
      <c r="O751" s="14"/>
    </row>
    <row r="752" ht="15.75" customHeight="1">
      <c r="B752" s="44"/>
      <c r="C752" s="44"/>
      <c r="F752" s="15"/>
      <c r="J752" s="29"/>
      <c r="N752" s="30"/>
      <c r="O752" s="14"/>
    </row>
    <row r="753" ht="15.75" customHeight="1">
      <c r="B753" s="44"/>
      <c r="C753" s="44"/>
      <c r="F753" s="15"/>
      <c r="J753" s="29"/>
      <c r="N753" s="30"/>
      <c r="O753" s="14"/>
    </row>
    <row r="754" ht="15.75" customHeight="1">
      <c r="B754" s="44"/>
      <c r="C754" s="44"/>
      <c r="F754" s="15"/>
      <c r="J754" s="29"/>
      <c r="N754" s="30"/>
      <c r="O754" s="14"/>
    </row>
    <row r="755" ht="15.75" customHeight="1">
      <c r="B755" s="44"/>
      <c r="C755" s="44"/>
      <c r="F755" s="15"/>
      <c r="J755" s="29"/>
      <c r="N755" s="30"/>
      <c r="O755" s="14"/>
    </row>
    <row r="756" ht="15.75" customHeight="1">
      <c r="B756" s="44"/>
      <c r="C756" s="44"/>
      <c r="F756" s="15"/>
      <c r="J756" s="29"/>
      <c r="N756" s="30"/>
      <c r="O756" s="14"/>
    </row>
    <row r="757" ht="15.75" customHeight="1">
      <c r="B757" s="44"/>
      <c r="C757" s="44"/>
      <c r="F757" s="15"/>
      <c r="J757" s="29"/>
      <c r="N757" s="30"/>
      <c r="O757" s="14"/>
    </row>
    <row r="758" ht="15.75" customHeight="1">
      <c r="B758" s="44"/>
      <c r="C758" s="44"/>
      <c r="F758" s="15"/>
      <c r="J758" s="29"/>
      <c r="N758" s="30"/>
      <c r="O758" s="14"/>
    </row>
    <row r="759" ht="15.75" customHeight="1">
      <c r="B759" s="44"/>
      <c r="C759" s="44"/>
      <c r="F759" s="15"/>
      <c r="J759" s="29"/>
      <c r="N759" s="30"/>
      <c r="O759" s="14"/>
    </row>
    <row r="760" ht="15.75" customHeight="1">
      <c r="B760" s="44"/>
      <c r="C760" s="44"/>
      <c r="F760" s="15"/>
      <c r="J760" s="29"/>
      <c r="N760" s="30"/>
      <c r="O760" s="14"/>
    </row>
    <row r="761" ht="15.75" customHeight="1">
      <c r="B761" s="44"/>
      <c r="C761" s="44"/>
      <c r="F761" s="15"/>
      <c r="J761" s="29"/>
      <c r="N761" s="30"/>
      <c r="O761" s="14"/>
    </row>
    <row r="762" ht="15.75" customHeight="1">
      <c r="B762" s="44"/>
      <c r="C762" s="44"/>
      <c r="F762" s="15"/>
      <c r="J762" s="29"/>
      <c r="N762" s="30"/>
      <c r="O762" s="14"/>
    </row>
    <row r="763" ht="15.75" customHeight="1">
      <c r="B763" s="44"/>
      <c r="C763" s="44"/>
      <c r="F763" s="15"/>
      <c r="J763" s="29"/>
      <c r="N763" s="30"/>
      <c r="O763" s="14"/>
    </row>
    <row r="764" ht="15.75" customHeight="1">
      <c r="B764" s="44"/>
      <c r="C764" s="44"/>
      <c r="F764" s="15"/>
      <c r="J764" s="29"/>
      <c r="N764" s="30"/>
      <c r="O764" s="14"/>
    </row>
    <row r="765" ht="15.75" customHeight="1">
      <c r="B765" s="44"/>
      <c r="C765" s="44"/>
      <c r="F765" s="15"/>
      <c r="J765" s="29"/>
      <c r="N765" s="30"/>
      <c r="O765" s="14"/>
    </row>
    <row r="766" ht="15.75" customHeight="1">
      <c r="B766" s="44"/>
      <c r="C766" s="44"/>
      <c r="F766" s="15"/>
      <c r="J766" s="29"/>
      <c r="N766" s="30"/>
      <c r="O766" s="14"/>
    </row>
    <row r="767" ht="15.75" customHeight="1">
      <c r="B767" s="44"/>
      <c r="C767" s="44"/>
      <c r="F767" s="15"/>
      <c r="J767" s="29"/>
      <c r="N767" s="30"/>
      <c r="O767" s="14"/>
    </row>
    <row r="768" ht="15.75" customHeight="1">
      <c r="B768" s="44"/>
      <c r="C768" s="44"/>
      <c r="F768" s="15"/>
      <c r="J768" s="29"/>
      <c r="N768" s="30"/>
      <c r="O768" s="14"/>
    </row>
    <row r="769" ht="15.75" customHeight="1">
      <c r="B769" s="44"/>
      <c r="C769" s="44"/>
      <c r="F769" s="15"/>
      <c r="J769" s="29"/>
      <c r="N769" s="30"/>
      <c r="O769" s="14"/>
    </row>
    <row r="770" ht="15.75" customHeight="1">
      <c r="B770" s="44"/>
      <c r="C770" s="44"/>
      <c r="F770" s="15"/>
      <c r="J770" s="29"/>
      <c r="N770" s="30"/>
      <c r="O770" s="14"/>
    </row>
    <row r="771" ht="15.75" customHeight="1">
      <c r="B771" s="44"/>
      <c r="C771" s="44"/>
      <c r="F771" s="15"/>
      <c r="J771" s="29"/>
      <c r="N771" s="30"/>
      <c r="O771" s="14"/>
    </row>
    <row r="772" ht="15.75" customHeight="1">
      <c r="B772" s="44"/>
      <c r="C772" s="44"/>
      <c r="F772" s="15"/>
      <c r="J772" s="29"/>
      <c r="N772" s="30"/>
      <c r="O772" s="14"/>
    </row>
    <row r="773" ht="15.75" customHeight="1">
      <c r="B773" s="44"/>
      <c r="C773" s="44"/>
      <c r="F773" s="15"/>
      <c r="J773" s="29"/>
      <c r="N773" s="30"/>
      <c r="O773" s="14"/>
    </row>
    <row r="774" ht="15.75" customHeight="1">
      <c r="B774" s="44"/>
      <c r="C774" s="44"/>
      <c r="F774" s="15"/>
      <c r="J774" s="29"/>
      <c r="N774" s="30"/>
      <c r="O774" s="14"/>
    </row>
    <row r="775" ht="15.75" customHeight="1">
      <c r="B775" s="44"/>
      <c r="C775" s="44"/>
      <c r="F775" s="15"/>
      <c r="J775" s="29"/>
      <c r="N775" s="30"/>
      <c r="O775" s="14"/>
    </row>
    <row r="776" ht="15.75" customHeight="1">
      <c r="B776" s="44"/>
      <c r="C776" s="44"/>
      <c r="F776" s="15"/>
      <c r="J776" s="29"/>
      <c r="N776" s="30"/>
      <c r="O776" s="14"/>
    </row>
    <row r="777" ht="15.75" customHeight="1">
      <c r="B777" s="44"/>
      <c r="C777" s="44"/>
      <c r="F777" s="15"/>
      <c r="J777" s="29"/>
      <c r="N777" s="30"/>
      <c r="O777" s="14"/>
    </row>
    <row r="778" ht="15.75" customHeight="1">
      <c r="B778" s="44"/>
      <c r="C778" s="44"/>
      <c r="F778" s="15"/>
      <c r="J778" s="29"/>
      <c r="N778" s="30"/>
      <c r="O778" s="14"/>
    </row>
    <row r="779" ht="15.75" customHeight="1">
      <c r="B779" s="44"/>
      <c r="C779" s="44"/>
      <c r="F779" s="15"/>
      <c r="J779" s="29"/>
      <c r="N779" s="30"/>
      <c r="O779" s="14"/>
    </row>
    <row r="780" ht="15.75" customHeight="1">
      <c r="B780" s="44"/>
      <c r="C780" s="44"/>
      <c r="F780" s="15"/>
      <c r="J780" s="29"/>
      <c r="N780" s="30"/>
      <c r="O780" s="14"/>
    </row>
    <row r="781" ht="15.75" customHeight="1">
      <c r="B781" s="44"/>
      <c r="C781" s="44"/>
      <c r="F781" s="15"/>
      <c r="J781" s="29"/>
      <c r="N781" s="30"/>
      <c r="O781" s="14"/>
    </row>
    <row r="782" ht="15.75" customHeight="1">
      <c r="B782" s="44"/>
      <c r="C782" s="44"/>
      <c r="F782" s="15"/>
      <c r="J782" s="29"/>
      <c r="N782" s="30"/>
      <c r="O782" s="14"/>
    </row>
    <row r="783" ht="15.75" customHeight="1">
      <c r="B783" s="44"/>
      <c r="C783" s="44"/>
      <c r="F783" s="15"/>
      <c r="J783" s="29"/>
      <c r="N783" s="30"/>
      <c r="O783" s="14"/>
    </row>
    <row r="784" ht="15.75" customHeight="1">
      <c r="B784" s="44"/>
      <c r="C784" s="44"/>
      <c r="F784" s="15"/>
      <c r="J784" s="29"/>
      <c r="N784" s="30"/>
      <c r="O784" s="14"/>
    </row>
    <row r="785" ht="15.75" customHeight="1">
      <c r="B785" s="44"/>
      <c r="C785" s="44"/>
      <c r="F785" s="15"/>
      <c r="J785" s="29"/>
      <c r="N785" s="30"/>
      <c r="O785" s="14"/>
    </row>
    <row r="786" ht="15.75" customHeight="1">
      <c r="B786" s="44"/>
      <c r="C786" s="44"/>
      <c r="F786" s="15"/>
      <c r="J786" s="29"/>
      <c r="N786" s="30"/>
      <c r="O786" s="14"/>
    </row>
    <row r="787" ht="15.75" customHeight="1">
      <c r="B787" s="44"/>
      <c r="C787" s="44"/>
      <c r="F787" s="15"/>
      <c r="J787" s="29"/>
      <c r="N787" s="30"/>
      <c r="O787" s="14"/>
    </row>
    <row r="788" ht="15.75" customHeight="1">
      <c r="B788" s="44"/>
      <c r="C788" s="44"/>
      <c r="F788" s="15"/>
      <c r="J788" s="29"/>
      <c r="N788" s="30"/>
      <c r="O788" s="14"/>
    </row>
    <row r="789" ht="15.75" customHeight="1">
      <c r="B789" s="44"/>
      <c r="C789" s="44"/>
      <c r="F789" s="15"/>
      <c r="J789" s="29"/>
      <c r="N789" s="30"/>
      <c r="O789" s="14"/>
    </row>
    <row r="790" ht="15.75" customHeight="1">
      <c r="B790" s="44"/>
      <c r="C790" s="44"/>
      <c r="F790" s="15"/>
      <c r="J790" s="29"/>
      <c r="N790" s="30"/>
      <c r="O790" s="14"/>
    </row>
    <row r="791" ht="15.75" customHeight="1">
      <c r="B791" s="44"/>
      <c r="C791" s="44"/>
      <c r="F791" s="15"/>
      <c r="J791" s="29"/>
      <c r="N791" s="30"/>
      <c r="O791" s="14"/>
    </row>
    <row r="792" ht="15.75" customHeight="1">
      <c r="B792" s="44"/>
      <c r="C792" s="44"/>
      <c r="F792" s="15"/>
      <c r="J792" s="29"/>
      <c r="N792" s="30"/>
      <c r="O792" s="14"/>
    </row>
    <row r="793" ht="15.75" customHeight="1">
      <c r="B793" s="44"/>
      <c r="C793" s="44"/>
      <c r="F793" s="15"/>
      <c r="J793" s="29"/>
      <c r="N793" s="30"/>
      <c r="O793" s="14"/>
    </row>
    <row r="794" ht="15.75" customHeight="1">
      <c r="B794" s="44"/>
      <c r="C794" s="44"/>
      <c r="F794" s="15"/>
      <c r="J794" s="29"/>
      <c r="N794" s="30"/>
      <c r="O794" s="14"/>
    </row>
    <row r="795" ht="15.75" customHeight="1">
      <c r="B795" s="44"/>
      <c r="C795" s="44"/>
      <c r="F795" s="15"/>
      <c r="J795" s="29"/>
      <c r="N795" s="30"/>
      <c r="O795" s="14"/>
    </row>
    <row r="796" ht="15.75" customHeight="1">
      <c r="B796" s="44"/>
      <c r="C796" s="44"/>
      <c r="F796" s="15"/>
      <c r="J796" s="29"/>
      <c r="N796" s="30"/>
      <c r="O796" s="14"/>
    </row>
    <row r="797" ht="15.75" customHeight="1">
      <c r="B797" s="44"/>
      <c r="C797" s="44"/>
      <c r="F797" s="15"/>
      <c r="J797" s="29"/>
      <c r="N797" s="30"/>
      <c r="O797" s="14"/>
    </row>
    <row r="798" ht="15.75" customHeight="1">
      <c r="B798" s="44"/>
      <c r="C798" s="44"/>
      <c r="F798" s="15"/>
      <c r="J798" s="29"/>
      <c r="N798" s="30"/>
      <c r="O798" s="14"/>
    </row>
    <row r="799" ht="15.75" customHeight="1">
      <c r="B799" s="44"/>
      <c r="C799" s="44"/>
      <c r="F799" s="15"/>
      <c r="J799" s="29"/>
      <c r="N799" s="30"/>
      <c r="O799" s="14"/>
    </row>
    <row r="800" ht="15.75" customHeight="1">
      <c r="B800" s="44"/>
      <c r="C800" s="44"/>
      <c r="F800" s="15"/>
      <c r="J800" s="29"/>
      <c r="N800" s="30"/>
      <c r="O800" s="14"/>
    </row>
    <row r="801" ht="15.75" customHeight="1">
      <c r="B801" s="44"/>
      <c r="C801" s="44"/>
      <c r="F801" s="15"/>
      <c r="J801" s="29"/>
      <c r="N801" s="30"/>
      <c r="O801" s="14"/>
    </row>
    <row r="802" ht="15.75" customHeight="1">
      <c r="B802" s="44"/>
      <c r="C802" s="44"/>
      <c r="F802" s="15"/>
      <c r="J802" s="29"/>
      <c r="N802" s="30"/>
      <c r="O802" s="14"/>
    </row>
    <row r="803" ht="15.75" customHeight="1">
      <c r="B803" s="44"/>
      <c r="C803" s="44"/>
      <c r="F803" s="15"/>
      <c r="J803" s="29"/>
      <c r="N803" s="30"/>
      <c r="O803" s="14"/>
    </row>
    <row r="804" ht="15.75" customHeight="1">
      <c r="B804" s="44"/>
      <c r="C804" s="44"/>
      <c r="F804" s="15"/>
      <c r="J804" s="29"/>
      <c r="N804" s="30"/>
      <c r="O804" s="14"/>
    </row>
    <row r="805" ht="15.75" customHeight="1">
      <c r="B805" s="44"/>
      <c r="C805" s="44"/>
      <c r="F805" s="15"/>
      <c r="J805" s="29"/>
      <c r="N805" s="30"/>
      <c r="O805" s="14"/>
    </row>
    <row r="806" ht="15.75" customHeight="1">
      <c r="B806" s="44"/>
      <c r="C806" s="44"/>
      <c r="F806" s="15"/>
      <c r="J806" s="29"/>
      <c r="N806" s="30"/>
      <c r="O806" s="14"/>
    </row>
    <row r="807" ht="15.75" customHeight="1">
      <c r="B807" s="44"/>
      <c r="C807" s="44"/>
      <c r="F807" s="15"/>
      <c r="J807" s="29"/>
      <c r="N807" s="30"/>
      <c r="O807" s="14"/>
    </row>
    <row r="808" ht="15.75" customHeight="1">
      <c r="B808" s="44"/>
      <c r="C808" s="44"/>
      <c r="F808" s="15"/>
      <c r="J808" s="29"/>
      <c r="N808" s="30"/>
      <c r="O808" s="14"/>
    </row>
    <row r="809" ht="15.75" customHeight="1">
      <c r="B809" s="44"/>
      <c r="C809" s="44"/>
      <c r="F809" s="15"/>
      <c r="J809" s="29"/>
      <c r="N809" s="30"/>
      <c r="O809" s="14"/>
    </row>
    <row r="810" ht="15.75" customHeight="1">
      <c r="B810" s="44"/>
      <c r="C810" s="44"/>
      <c r="F810" s="15"/>
      <c r="J810" s="29"/>
      <c r="N810" s="30"/>
      <c r="O810" s="14"/>
    </row>
    <row r="811" ht="15.75" customHeight="1">
      <c r="B811" s="44"/>
      <c r="C811" s="44"/>
      <c r="F811" s="15"/>
      <c r="J811" s="29"/>
      <c r="N811" s="30"/>
      <c r="O811" s="14"/>
    </row>
    <row r="812" ht="15.75" customHeight="1">
      <c r="B812" s="44"/>
      <c r="C812" s="44"/>
      <c r="F812" s="15"/>
      <c r="J812" s="29"/>
      <c r="N812" s="30"/>
      <c r="O812" s="14"/>
    </row>
    <row r="813" ht="15.75" customHeight="1">
      <c r="B813" s="44"/>
      <c r="C813" s="44"/>
      <c r="F813" s="15"/>
      <c r="J813" s="29"/>
      <c r="N813" s="30"/>
      <c r="O813" s="14"/>
    </row>
    <row r="814" ht="15.75" customHeight="1">
      <c r="B814" s="44"/>
      <c r="C814" s="44"/>
      <c r="F814" s="15"/>
      <c r="J814" s="29"/>
      <c r="N814" s="30"/>
      <c r="O814" s="14"/>
    </row>
    <row r="815" ht="15.75" customHeight="1">
      <c r="B815" s="44"/>
      <c r="C815" s="44"/>
      <c r="F815" s="15"/>
      <c r="J815" s="29"/>
      <c r="N815" s="30"/>
      <c r="O815" s="14"/>
    </row>
    <row r="816" ht="15.75" customHeight="1">
      <c r="B816" s="44"/>
      <c r="C816" s="44"/>
      <c r="F816" s="15"/>
      <c r="J816" s="29"/>
      <c r="N816" s="30"/>
      <c r="O816" s="14"/>
    </row>
    <row r="817" ht="15.75" customHeight="1">
      <c r="B817" s="44"/>
      <c r="C817" s="44"/>
      <c r="F817" s="15"/>
      <c r="J817" s="29"/>
      <c r="N817" s="30"/>
      <c r="O817" s="14"/>
    </row>
    <row r="818" ht="15.75" customHeight="1">
      <c r="B818" s="44"/>
      <c r="C818" s="44"/>
      <c r="F818" s="15"/>
      <c r="J818" s="29"/>
      <c r="N818" s="30"/>
      <c r="O818" s="14"/>
    </row>
    <row r="819" ht="15.75" customHeight="1">
      <c r="B819" s="44"/>
      <c r="C819" s="44"/>
      <c r="F819" s="15"/>
      <c r="J819" s="29"/>
      <c r="N819" s="30"/>
      <c r="O819" s="14"/>
    </row>
    <row r="820" ht="15.75" customHeight="1">
      <c r="B820" s="44"/>
      <c r="C820" s="44"/>
      <c r="F820" s="15"/>
      <c r="J820" s="29"/>
      <c r="N820" s="30"/>
      <c r="O820" s="14"/>
    </row>
    <row r="821" ht="15.75" customHeight="1">
      <c r="B821" s="44"/>
      <c r="C821" s="44"/>
      <c r="F821" s="15"/>
      <c r="J821" s="29"/>
      <c r="N821" s="30"/>
      <c r="O821" s="14"/>
    </row>
    <row r="822" ht="15.75" customHeight="1">
      <c r="B822" s="44"/>
      <c r="C822" s="44"/>
      <c r="F822" s="15"/>
      <c r="J822" s="29"/>
      <c r="N822" s="30"/>
      <c r="O822" s="14"/>
    </row>
    <row r="823" ht="15.75" customHeight="1">
      <c r="B823" s="44"/>
      <c r="C823" s="44"/>
      <c r="F823" s="15"/>
      <c r="J823" s="29"/>
      <c r="N823" s="30"/>
      <c r="O823" s="14"/>
    </row>
    <row r="824" ht="15.75" customHeight="1">
      <c r="B824" s="44"/>
      <c r="C824" s="44"/>
      <c r="F824" s="15"/>
      <c r="J824" s="29"/>
      <c r="N824" s="30"/>
      <c r="O824" s="14"/>
    </row>
    <row r="825" ht="15.75" customHeight="1">
      <c r="B825" s="44"/>
      <c r="C825" s="44"/>
      <c r="F825" s="15"/>
      <c r="J825" s="29"/>
      <c r="N825" s="30"/>
      <c r="O825" s="14"/>
    </row>
    <row r="826" ht="15.75" customHeight="1">
      <c r="B826" s="44"/>
      <c r="C826" s="44"/>
      <c r="F826" s="15"/>
      <c r="J826" s="29"/>
      <c r="N826" s="30"/>
      <c r="O826" s="14"/>
    </row>
    <row r="827" ht="15.75" customHeight="1">
      <c r="B827" s="44"/>
      <c r="C827" s="44"/>
      <c r="F827" s="15"/>
      <c r="J827" s="29"/>
      <c r="N827" s="30"/>
      <c r="O827" s="14"/>
    </row>
    <row r="828" ht="15.75" customHeight="1">
      <c r="B828" s="44"/>
      <c r="C828" s="44"/>
      <c r="F828" s="15"/>
      <c r="J828" s="29"/>
      <c r="N828" s="30"/>
      <c r="O828" s="14"/>
    </row>
    <row r="829" ht="15.75" customHeight="1">
      <c r="B829" s="44"/>
      <c r="C829" s="44"/>
      <c r="F829" s="15"/>
      <c r="J829" s="29"/>
      <c r="N829" s="30"/>
      <c r="O829" s="14"/>
    </row>
    <row r="830" ht="15.75" customHeight="1">
      <c r="B830" s="44"/>
      <c r="C830" s="44"/>
      <c r="F830" s="15"/>
      <c r="J830" s="29"/>
      <c r="N830" s="30"/>
      <c r="O830" s="14"/>
    </row>
    <row r="831" ht="15.75" customHeight="1">
      <c r="B831" s="44"/>
      <c r="C831" s="44"/>
      <c r="F831" s="15"/>
      <c r="J831" s="29"/>
      <c r="N831" s="30"/>
      <c r="O831" s="14"/>
    </row>
    <row r="832" ht="15.75" customHeight="1">
      <c r="B832" s="44"/>
      <c r="C832" s="44"/>
      <c r="F832" s="15"/>
      <c r="J832" s="29"/>
      <c r="N832" s="30"/>
      <c r="O832" s="14"/>
    </row>
    <row r="833" ht="15.75" customHeight="1">
      <c r="B833" s="44"/>
      <c r="C833" s="44"/>
      <c r="F833" s="15"/>
      <c r="J833" s="29"/>
      <c r="N833" s="30"/>
      <c r="O833" s="14"/>
    </row>
    <row r="834" ht="15.75" customHeight="1">
      <c r="B834" s="44"/>
      <c r="C834" s="44"/>
      <c r="F834" s="15"/>
      <c r="J834" s="29"/>
      <c r="N834" s="30"/>
      <c r="O834" s="14"/>
    </row>
    <row r="835" ht="15.75" customHeight="1">
      <c r="B835" s="44"/>
      <c r="C835" s="44"/>
      <c r="F835" s="15"/>
      <c r="J835" s="29"/>
      <c r="N835" s="30"/>
      <c r="O835" s="14"/>
    </row>
    <row r="836" ht="15.75" customHeight="1">
      <c r="B836" s="44"/>
      <c r="C836" s="44"/>
      <c r="F836" s="15"/>
      <c r="J836" s="29"/>
      <c r="N836" s="30"/>
      <c r="O836" s="14"/>
    </row>
    <row r="837" ht="15.75" customHeight="1">
      <c r="B837" s="44"/>
      <c r="C837" s="44"/>
      <c r="F837" s="15"/>
      <c r="J837" s="29"/>
      <c r="N837" s="30"/>
      <c r="O837" s="14"/>
    </row>
    <row r="838" ht="15.75" customHeight="1">
      <c r="B838" s="44"/>
      <c r="C838" s="44"/>
      <c r="F838" s="15"/>
      <c r="J838" s="29"/>
      <c r="N838" s="30"/>
      <c r="O838" s="14"/>
    </row>
    <row r="839" ht="15.75" customHeight="1">
      <c r="B839" s="44"/>
      <c r="C839" s="44"/>
      <c r="F839" s="15"/>
      <c r="J839" s="29"/>
      <c r="N839" s="30"/>
      <c r="O839" s="14"/>
    </row>
    <row r="840" ht="15.75" customHeight="1">
      <c r="B840" s="44"/>
      <c r="C840" s="44"/>
      <c r="F840" s="15"/>
      <c r="J840" s="29"/>
      <c r="N840" s="30"/>
      <c r="O840" s="14"/>
    </row>
    <row r="841" ht="15.75" customHeight="1">
      <c r="B841" s="44"/>
      <c r="C841" s="44"/>
      <c r="F841" s="15"/>
      <c r="J841" s="29"/>
      <c r="N841" s="30"/>
      <c r="O841" s="14"/>
    </row>
    <row r="842" ht="15.75" customHeight="1">
      <c r="B842" s="44"/>
      <c r="C842" s="44"/>
      <c r="F842" s="15"/>
      <c r="J842" s="29"/>
      <c r="N842" s="30"/>
      <c r="O842" s="14"/>
    </row>
    <row r="843" ht="15.75" customHeight="1">
      <c r="B843" s="44"/>
      <c r="C843" s="44"/>
      <c r="F843" s="15"/>
      <c r="J843" s="29"/>
      <c r="N843" s="30"/>
      <c r="O843" s="14"/>
    </row>
    <row r="844" ht="15.75" customHeight="1">
      <c r="B844" s="44"/>
      <c r="C844" s="44"/>
      <c r="F844" s="15"/>
      <c r="J844" s="29"/>
      <c r="N844" s="30"/>
      <c r="O844" s="14"/>
    </row>
    <row r="845" ht="15.75" customHeight="1">
      <c r="B845" s="44"/>
      <c r="C845" s="44"/>
      <c r="F845" s="15"/>
      <c r="J845" s="29"/>
      <c r="N845" s="30"/>
      <c r="O845" s="14"/>
    </row>
    <row r="846" ht="15.75" customHeight="1">
      <c r="B846" s="44"/>
      <c r="C846" s="44"/>
      <c r="F846" s="15"/>
      <c r="J846" s="29"/>
      <c r="N846" s="30"/>
      <c r="O846" s="14"/>
    </row>
    <row r="847" ht="15.75" customHeight="1">
      <c r="B847" s="44"/>
      <c r="C847" s="44"/>
      <c r="F847" s="15"/>
      <c r="J847" s="29"/>
      <c r="N847" s="30"/>
      <c r="O847" s="14"/>
    </row>
    <row r="848" ht="15.75" customHeight="1">
      <c r="B848" s="44"/>
      <c r="C848" s="44"/>
      <c r="F848" s="15"/>
      <c r="J848" s="29"/>
      <c r="N848" s="30"/>
      <c r="O848" s="14"/>
    </row>
    <row r="849" ht="15.75" customHeight="1">
      <c r="B849" s="44"/>
      <c r="C849" s="44"/>
      <c r="F849" s="15"/>
      <c r="J849" s="29"/>
      <c r="N849" s="30"/>
      <c r="O849" s="14"/>
    </row>
    <row r="850" ht="15.75" customHeight="1">
      <c r="B850" s="44"/>
      <c r="C850" s="44"/>
      <c r="F850" s="15"/>
      <c r="J850" s="29"/>
      <c r="N850" s="30"/>
      <c r="O850" s="14"/>
    </row>
    <row r="851" ht="15.75" customHeight="1">
      <c r="B851" s="44"/>
      <c r="C851" s="44"/>
      <c r="F851" s="15"/>
      <c r="J851" s="29"/>
      <c r="N851" s="30"/>
      <c r="O851" s="14"/>
    </row>
    <row r="852" ht="15.75" customHeight="1">
      <c r="B852" s="44"/>
      <c r="C852" s="44"/>
      <c r="F852" s="15"/>
      <c r="J852" s="29"/>
      <c r="N852" s="30"/>
      <c r="O852" s="14"/>
    </row>
    <row r="853" ht="15.75" customHeight="1">
      <c r="B853" s="44"/>
      <c r="C853" s="44"/>
      <c r="F853" s="15"/>
      <c r="J853" s="29"/>
      <c r="N853" s="30"/>
      <c r="O853" s="14"/>
    </row>
    <row r="854" ht="15.75" customHeight="1">
      <c r="B854" s="44"/>
      <c r="C854" s="44"/>
      <c r="F854" s="15"/>
      <c r="J854" s="29"/>
      <c r="N854" s="30"/>
      <c r="O854" s="14"/>
    </row>
    <row r="855" ht="15.75" customHeight="1">
      <c r="B855" s="44"/>
      <c r="C855" s="44"/>
      <c r="F855" s="15"/>
      <c r="J855" s="29"/>
      <c r="N855" s="30"/>
      <c r="O855" s="14"/>
    </row>
    <row r="856" ht="15.75" customHeight="1">
      <c r="B856" s="44"/>
      <c r="C856" s="44"/>
      <c r="F856" s="15"/>
      <c r="J856" s="29"/>
      <c r="N856" s="30"/>
      <c r="O856" s="14"/>
    </row>
    <row r="857" ht="15.75" customHeight="1">
      <c r="B857" s="44"/>
      <c r="C857" s="44"/>
      <c r="F857" s="15"/>
      <c r="J857" s="29"/>
      <c r="N857" s="30"/>
      <c r="O857" s="14"/>
    </row>
    <row r="858" ht="15.75" customHeight="1">
      <c r="B858" s="44"/>
      <c r="C858" s="44"/>
      <c r="F858" s="15"/>
      <c r="J858" s="29"/>
      <c r="N858" s="30"/>
      <c r="O858" s="14"/>
    </row>
    <row r="859" ht="15.75" customHeight="1">
      <c r="B859" s="44"/>
      <c r="C859" s="44"/>
      <c r="F859" s="15"/>
      <c r="J859" s="29"/>
      <c r="N859" s="30"/>
      <c r="O859" s="14"/>
    </row>
    <row r="860" ht="15.75" customHeight="1">
      <c r="B860" s="44"/>
      <c r="C860" s="44"/>
      <c r="F860" s="15"/>
      <c r="J860" s="29"/>
      <c r="N860" s="30"/>
      <c r="O860" s="14"/>
    </row>
    <row r="861" ht="15.75" customHeight="1">
      <c r="B861" s="44"/>
      <c r="C861" s="44"/>
      <c r="F861" s="15"/>
      <c r="J861" s="29"/>
      <c r="N861" s="30"/>
      <c r="O861" s="14"/>
    </row>
    <row r="862" ht="15.75" customHeight="1">
      <c r="B862" s="44"/>
      <c r="C862" s="44"/>
      <c r="F862" s="15"/>
      <c r="J862" s="29"/>
      <c r="N862" s="30"/>
      <c r="O862" s="14"/>
    </row>
    <row r="863" ht="15.75" customHeight="1">
      <c r="B863" s="44"/>
      <c r="C863" s="44"/>
      <c r="F863" s="15"/>
      <c r="J863" s="29"/>
      <c r="N863" s="30"/>
      <c r="O863" s="14"/>
    </row>
    <row r="864" ht="15.75" customHeight="1">
      <c r="B864" s="44"/>
      <c r="C864" s="44"/>
      <c r="F864" s="15"/>
      <c r="J864" s="29"/>
      <c r="N864" s="30"/>
      <c r="O864" s="14"/>
    </row>
    <row r="865" ht="15.75" customHeight="1">
      <c r="B865" s="44"/>
      <c r="C865" s="44"/>
      <c r="F865" s="15"/>
      <c r="J865" s="29"/>
      <c r="N865" s="30"/>
      <c r="O865" s="14"/>
    </row>
    <row r="866" ht="15.75" customHeight="1">
      <c r="B866" s="44"/>
      <c r="C866" s="44"/>
      <c r="F866" s="15"/>
      <c r="J866" s="29"/>
      <c r="N866" s="30"/>
      <c r="O866" s="14"/>
    </row>
    <row r="867" ht="15.75" customHeight="1">
      <c r="B867" s="44"/>
      <c r="C867" s="44"/>
      <c r="F867" s="15"/>
      <c r="J867" s="29"/>
      <c r="N867" s="30"/>
      <c r="O867" s="14"/>
    </row>
    <row r="868" ht="15.75" customHeight="1">
      <c r="B868" s="44"/>
      <c r="C868" s="44"/>
      <c r="F868" s="15"/>
      <c r="J868" s="29"/>
      <c r="N868" s="30"/>
      <c r="O868" s="14"/>
    </row>
    <row r="869" ht="15.75" customHeight="1">
      <c r="B869" s="44"/>
      <c r="C869" s="44"/>
      <c r="F869" s="15"/>
      <c r="J869" s="29"/>
      <c r="N869" s="30"/>
      <c r="O869" s="14"/>
    </row>
    <row r="870" ht="15.75" customHeight="1">
      <c r="B870" s="44"/>
      <c r="C870" s="44"/>
      <c r="F870" s="15"/>
      <c r="J870" s="29"/>
      <c r="N870" s="30"/>
      <c r="O870" s="14"/>
    </row>
    <row r="871" ht="15.75" customHeight="1">
      <c r="B871" s="44"/>
      <c r="C871" s="44"/>
      <c r="F871" s="15"/>
      <c r="J871" s="29"/>
      <c r="N871" s="30"/>
      <c r="O871" s="14"/>
    </row>
    <row r="872" ht="15.75" customHeight="1">
      <c r="B872" s="44"/>
      <c r="C872" s="44"/>
      <c r="F872" s="15"/>
      <c r="J872" s="29"/>
      <c r="N872" s="30"/>
      <c r="O872" s="14"/>
    </row>
    <row r="873" ht="15.75" customHeight="1">
      <c r="B873" s="44"/>
      <c r="C873" s="44"/>
      <c r="F873" s="15"/>
      <c r="J873" s="29"/>
      <c r="N873" s="30"/>
      <c r="O873" s="14"/>
    </row>
    <row r="874" ht="15.75" customHeight="1">
      <c r="B874" s="44"/>
      <c r="C874" s="44"/>
      <c r="F874" s="15"/>
      <c r="J874" s="29"/>
      <c r="N874" s="30"/>
      <c r="O874" s="14"/>
    </row>
    <row r="875" ht="15.75" customHeight="1">
      <c r="B875" s="44"/>
      <c r="C875" s="44"/>
      <c r="F875" s="15"/>
      <c r="J875" s="29"/>
      <c r="N875" s="30"/>
      <c r="O875" s="14"/>
    </row>
    <row r="876" ht="15.75" customHeight="1">
      <c r="B876" s="44"/>
      <c r="C876" s="44"/>
      <c r="F876" s="15"/>
      <c r="J876" s="29"/>
      <c r="N876" s="30"/>
      <c r="O876" s="14"/>
    </row>
    <row r="877" ht="15.75" customHeight="1">
      <c r="B877" s="44"/>
      <c r="C877" s="44"/>
      <c r="F877" s="15"/>
      <c r="J877" s="29"/>
      <c r="N877" s="30"/>
      <c r="O877" s="14"/>
    </row>
    <row r="878" ht="15.75" customHeight="1">
      <c r="B878" s="44"/>
      <c r="C878" s="44"/>
      <c r="F878" s="15"/>
      <c r="J878" s="29"/>
      <c r="N878" s="30"/>
      <c r="O878" s="14"/>
    </row>
    <row r="879" ht="15.75" customHeight="1">
      <c r="B879" s="44"/>
      <c r="C879" s="44"/>
      <c r="F879" s="15"/>
      <c r="J879" s="29"/>
      <c r="N879" s="30"/>
      <c r="O879" s="14"/>
    </row>
    <row r="880" ht="15.75" customHeight="1">
      <c r="B880" s="44"/>
      <c r="C880" s="44"/>
      <c r="F880" s="15"/>
      <c r="J880" s="29"/>
      <c r="N880" s="30"/>
      <c r="O880" s="14"/>
    </row>
    <row r="881" ht="15.75" customHeight="1">
      <c r="B881" s="44"/>
      <c r="C881" s="44"/>
      <c r="F881" s="15"/>
      <c r="J881" s="29"/>
      <c r="N881" s="30"/>
      <c r="O881" s="14"/>
    </row>
    <row r="882" ht="15.75" customHeight="1">
      <c r="B882" s="44"/>
      <c r="C882" s="44"/>
      <c r="F882" s="15"/>
      <c r="J882" s="29"/>
      <c r="N882" s="30"/>
      <c r="O882" s="14"/>
    </row>
    <row r="883" ht="15.75" customHeight="1">
      <c r="B883" s="44"/>
      <c r="C883" s="44"/>
      <c r="F883" s="15"/>
      <c r="J883" s="29"/>
      <c r="N883" s="30"/>
      <c r="O883" s="14"/>
    </row>
    <row r="884" ht="15.75" customHeight="1">
      <c r="B884" s="44"/>
      <c r="C884" s="44"/>
      <c r="F884" s="15"/>
      <c r="J884" s="29"/>
      <c r="N884" s="30"/>
      <c r="O884" s="14"/>
    </row>
    <row r="885" ht="15.75" customHeight="1">
      <c r="B885" s="44"/>
      <c r="C885" s="44"/>
      <c r="F885" s="15"/>
      <c r="J885" s="29"/>
      <c r="N885" s="30"/>
      <c r="O885" s="14"/>
    </row>
    <row r="886" ht="15.75" customHeight="1">
      <c r="B886" s="44"/>
      <c r="C886" s="44"/>
      <c r="F886" s="15"/>
      <c r="J886" s="29"/>
      <c r="N886" s="30"/>
      <c r="O886" s="14"/>
    </row>
    <row r="887" ht="15.75" customHeight="1">
      <c r="B887" s="44"/>
      <c r="C887" s="44"/>
      <c r="F887" s="15"/>
      <c r="J887" s="29"/>
      <c r="N887" s="30"/>
      <c r="O887" s="14"/>
    </row>
    <row r="888" ht="15.75" customHeight="1">
      <c r="B888" s="44"/>
      <c r="C888" s="44"/>
      <c r="F888" s="15"/>
      <c r="J888" s="29"/>
      <c r="N888" s="30"/>
      <c r="O888" s="14"/>
    </row>
    <row r="889" ht="15.75" customHeight="1">
      <c r="B889" s="44"/>
      <c r="C889" s="44"/>
      <c r="F889" s="15"/>
      <c r="J889" s="29"/>
      <c r="N889" s="30"/>
      <c r="O889" s="14"/>
    </row>
    <row r="890" ht="15.75" customHeight="1">
      <c r="B890" s="44"/>
      <c r="C890" s="44"/>
      <c r="F890" s="15"/>
      <c r="J890" s="29"/>
      <c r="N890" s="30"/>
      <c r="O890" s="14"/>
    </row>
    <row r="891" ht="15.75" customHeight="1">
      <c r="B891" s="44"/>
      <c r="C891" s="44"/>
      <c r="F891" s="15"/>
      <c r="J891" s="29"/>
      <c r="N891" s="30"/>
      <c r="O891" s="14"/>
    </row>
    <row r="892" ht="15.75" customHeight="1">
      <c r="B892" s="44"/>
      <c r="C892" s="44"/>
      <c r="F892" s="15"/>
      <c r="J892" s="29"/>
      <c r="N892" s="30"/>
      <c r="O892" s="14"/>
    </row>
    <row r="893" ht="15.75" customHeight="1">
      <c r="B893" s="44"/>
      <c r="C893" s="44"/>
      <c r="F893" s="15"/>
      <c r="J893" s="29"/>
      <c r="N893" s="30"/>
      <c r="O893" s="14"/>
    </row>
    <row r="894" ht="15.75" customHeight="1">
      <c r="B894" s="44"/>
      <c r="C894" s="44"/>
      <c r="F894" s="15"/>
      <c r="J894" s="29"/>
      <c r="N894" s="30"/>
      <c r="O894" s="14"/>
    </row>
    <row r="895" ht="15.75" customHeight="1">
      <c r="B895" s="44"/>
      <c r="C895" s="44"/>
      <c r="F895" s="15"/>
      <c r="J895" s="29"/>
      <c r="N895" s="30"/>
      <c r="O895" s="14"/>
    </row>
    <row r="896" ht="15.75" customHeight="1">
      <c r="B896" s="44"/>
      <c r="C896" s="44"/>
      <c r="F896" s="15"/>
      <c r="J896" s="29"/>
      <c r="N896" s="30"/>
      <c r="O896" s="14"/>
    </row>
    <row r="897" ht="15.75" customHeight="1">
      <c r="B897" s="44"/>
      <c r="C897" s="44"/>
      <c r="F897" s="15"/>
      <c r="J897" s="29"/>
      <c r="N897" s="30"/>
      <c r="O897" s="14"/>
    </row>
    <row r="898" ht="15.75" customHeight="1">
      <c r="B898" s="44"/>
      <c r="C898" s="44"/>
      <c r="F898" s="15"/>
      <c r="J898" s="29"/>
      <c r="N898" s="30"/>
      <c r="O898" s="14"/>
    </row>
    <row r="899" ht="15.75" customHeight="1">
      <c r="B899" s="44"/>
      <c r="C899" s="44"/>
      <c r="F899" s="15"/>
      <c r="J899" s="29"/>
      <c r="N899" s="30"/>
      <c r="O899" s="14"/>
    </row>
    <row r="900" ht="15.75" customHeight="1">
      <c r="B900" s="44"/>
      <c r="C900" s="44"/>
      <c r="F900" s="15"/>
      <c r="J900" s="29"/>
      <c r="N900" s="30"/>
      <c r="O900" s="14"/>
    </row>
    <row r="901" ht="15.75" customHeight="1">
      <c r="B901" s="44"/>
      <c r="C901" s="44"/>
      <c r="F901" s="15"/>
      <c r="J901" s="29"/>
      <c r="N901" s="30"/>
      <c r="O901" s="14"/>
    </row>
    <row r="902" ht="15.75" customHeight="1">
      <c r="B902" s="44"/>
      <c r="C902" s="44"/>
      <c r="F902" s="15"/>
      <c r="J902" s="29"/>
      <c r="N902" s="30"/>
      <c r="O902" s="14"/>
    </row>
    <row r="903" ht="15.75" customHeight="1">
      <c r="B903" s="44"/>
      <c r="C903" s="44"/>
      <c r="F903" s="15"/>
      <c r="J903" s="29"/>
      <c r="N903" s="30"/>
      <c r="O903" s="14"/>
    </row>
    <row r="904" ht="15.75" customHeight="1">
      <c r="B904" s="44"/>
      <c r="C904" s="44"/>
      <c r="F904" s="15"/>
      <c r="J904" s="29"/>
      <c r="N904" s="30"/>
      <c r="O904" s="14"/>
    </row>
    <row r="905" ht="15.75" customHeight="1">
      <c r="B905" s="44"/>
      <c r="C905" s="44"/>
      <c r="F905" s="15"/>
      <c r="J905" s="29"/>
      <c r="N905" s="30"/>
      <c r="O905" s="14"/>
    </row>
    <row r="906" ht="15.75" customHeight="1">
      <c r="B906" s="44"/>
      <c r="C906" s="44"/>
      <c r="F906" s="15"/>
      <c r="J906" s="29"/>
      <c r="N906" s="30"/>
      <c r="O906" s="14"/>
    </row>
    <row r="907" ht="15.75" customHeight="1">
      <c r="B907" s="44"/>
      <c r="C907" s="44"/>
      <c r="F907" s="15"/>
      <c r="J907" s="29"/>
      <c r="N907" s="30"/>
      <c r="O907" s="14"/>
    </row>
    <row r="908" ht="15.75" customHeight="1">
      <c r="B908" s="44"/>
      <c r="C908" s="44"/>
      <c r="F908" s="15"/>
      <c r="J908" s="29"/>
      <c r="N908" s="30"/>
      <c r="O908" s="14"/>
    </row>
    <row r="909" ht="15.75" customHeight="1">
      <c r="B909" s="44"/>
      <c r="C909" s="44"/>
      <c r="F909" s="15"/>
      <c r="J909" s="29"/>
      <c r="N909" s="30"/>
      <c r="O909" s="14"/>
    </row>
    <row r="910" ht="15.75" customHeight="1">
      <c r="B910" s="44"/>
      <c r="C910" s="44"/>
      <c r="F910" s="15"/>
      <c r="J910" s="29"/>
      <c r="N910" s="30"/>
      <c r="O910" s="14"/>
    </row>
    <row r="911" ht="15.75" customHeight="1">
      <c r="B911" s="44"/>
      <c r="C911" s="44"/>
      <c r="F911" s="15"/>
      <c r="J911" s="29"/>
      <c r="N911" s="30"/>
      <c r="O911" s="14"/>
    </row>
    <row r="912" ht="15.75" customHeight="1">
      <c r="B912" s="44"/>
      <c r="C912" s="44"/>
      <c r="F912" s="15"/>
      <c r="J912" s="29"/>
      <c r="N912" s="30"/>
      <c r="O912" s="14"/>
    </row>
    <row r="913" ht="15.75" customHeight="1">
      <c r="B913" s="44"/>
      <c r="C913" s="44"/>
      <c r="F913" s="15"/>
      <c r="J913" s="29"/>
      <c r="N913" s="30"/>
      <c r="O913" s="14"/>
    </row>
    <row r="914" ht="15.75" customHeight="1">
      <c r="B914" s="44"/>
      <c r="C914" s="44"/>
      <c r="F914" s="15"/>
      <c r="J914" s="29"/>
      <c r="N914" s="30"/>
      <c r="O914" s="14"/>
    </row>
    <row r="915" ht="15.75" customHeight="1">
      <c r="B915" s="44"/>
      <c r="C915" s="44"/>
      <c r="F915" s="15"/>
      <c r="J915" s="29"/>
      <c r="N915" s="30"/>
      <c r="O915" s="14"/>
    </row>
    <row r="916" ht="15.75" customHeight="1">
      <c r="B916" s="44"/>
      <c r="C916" s="44"/>
      <c r="F916" s="15"/>
      <c r="J916" s="29"/>
      <c r="N916" s="30"/>
      <c r="O916" s="14"/>
    </row>
    <row r="917" ht="15.75" customHeight="1">
      <c r="B917" s="44"/>
      <c r="C917" s="44"/>
      <c r="F917" s="15"/>
      <c r="J917" s="29"/>
      <c r="N917" s="30"/>
      <c r="O917" s="14"/>
    </row>
    <row r="918" ht="15.75" customHeight="1">
      <c r="B918" s="44"/>
      <c r="C918" s="44"/>
      <c r="F918" s="15"/>
      <c r="J918" s="29"/>
      <c r="N918" s="30"/>
      <c r="O918" s="14"/>
    </row>
    <row r="919" ht="15.75" customHeight="1">
      <c r="B919" s="44"/>
      <c r="C919" s="44"/>
      <c r="F919" s="15"/>
      <c r="J919" s="29"/>
      <c r="N919" s="30"/>
      <c r="O919" s="14"/>
    </row>
    <row r="920" ht="15.75" customHeight="1">
      <c r="B920" s="44"/>
      <c r="C920" s="44"/>
      <c r="F920" s="15"/>
      <c r="J920" s="29"/>
      <c r="N920" s="30"/>
      <c r="O920" s="14"/>
    </row>
    <row r="921" ht="15.75" customHeight="1">
      <c r="B921" s="44"/>
      <c r="C921" s="44"/>
      <c r="F921" s="15"/>
      <c r="J921" s="29"/>
      <c r="N921" s="30"/>
      <c r="O921" s="14"/>
    </row>
    <row r="922" ht="15.75" customHeight="1">
      <c r="B922" s="44"/>
      <c r="C922" s="44"/>
      <c r="F922" s="15"/>
      <c r="J922" s="29"/>
      <c r="N922" s="30"/>
      <c r="O922" s="14"/>
    </row>
    <row r="923" ht="15.75" customHeight="1">
      <c r="B923" s="44"/>
      <c r="C923" s="44"/>
      <c r="F923" s="15"/>
      <c r="J923" s="29"/>
      <c r="N923" s="30"/>
      <c r="O923" s="14"/>
    </row>
    <row r="924" ht="15.75" customHeight="1">
      <c r="B924" s="44"/>
      <c r="C924" s="44"/>
      <c r="F924" s="15"/>
      <c r="J924" s="29"/>
      <c r="N924" s="30"/>
      <c r="O924" s="14"/>
    </row>
    <row r="925" ht="15.75" customHeight="1">
      <c r="B925" s="44"/>
      <c r="C925" s="44"/>
      <c r="F925" s="15"/>
      <c r="J925" s="29"/>
      <c r="N925" s="30"/>
      <c r="O925" s="14"/>
    </row>
    <row r="926" ht="15.75" customHeight="1">
      <c r="B926" s="44"/>
      <c r="C926" s="44"/>
      <c r="F926" s="15"/>
      <c r="J926" s="29"/>
      <c r="N926" s="30"/>
      <c r="O926" s="14"/>
    </row>
    <row r="927" ht="15.75" customHeight="1">
      <c r="B927" s="44"/>
      <c r="C927" s="44"/>
      <c r="F927" s="15"/>
      <c r="J927" s="29"/>
      <c r="N927" s="30"/>
      <c r="O927" s="14"/>
    </row>
    <row r="928" ht="15.75" customHeight="1">
      <c r="B928" s="44"/>
      <c r="C928" s="44"/>
      <c r="F928" s="15"/>
      <c r="J928" s="29"/>
      <c r="N928" s="30"/>
      <c r="O928" s="14"/>
    </row>
    <row r="929" ht="15.75" customHeight="1">
      <c r="B929" s="44"/>
      <c r="C929" s="44"/>
      <c r="F929" s="15"/>
      <c r="J929" s="29"/>
      <c r="N929" s="30"/>
      <c r="O929" s="14"/>
    </row>
    <row r="930" ht="15.75" customHeight="1">
      <c r="B930" s="44"/>
      <c r="C930" s="44"/>
      <c r="F930" s="15"/>
      <c r="J930" s="29"/>
      <c r="N930" s="30"/>
      <c r="O930" s="14"/>
    </row>
    <row r="931" ht="15.75" customHeight="1">
      <c r="B931" s="44"/>
      <c r="C931" s="44"/>
      <c r="F931" s="15"/>
      <c r="J931" s="29"/>
      <c r="N931" s="30"/>
      <c r="O931" s="14"/>
    </row>
    <row r="932" ht="15.75" customHeight="1">
      <c r="B932" s="44"/>
      <c r="C932" s="44"/>
      <c r="F932" s="15"/>
      <c r="J932" s="29"/>
      <c r="N932" s="30"/>
      <c r="O932" s="14"/>
    </row>
    <row r="933" ht="15.75" customHeight="1">
      <c r="B933" s="44"/>
      <c r="C933" s="44"/>
      <c r="F933" s="15"/>
      <c r="J933" s="29"/>
      <c r="N933" s="30"/>
      <c r="O933" s="14"/>
    </row>
    <row r="934" ht="15.75" customHeight="1">
      <c r="B934" s="44"/>
      <c r="C934" s="44"/>
      <c r="F934" s="15"/>
      <c r="J934" s="29"/>
      <c r="N934" s="30"/>
      <c r="O934" s="14"/>
    </row>
    <row r="935" ht="15.75" customHeight="1">
      <c r="B935" s="44"/>
      <c r="C935" s="44"/>
      <c r="F935" s="15"/>
      <c r="J935" s="29"/>
      <c r="N935" s="30"/>
      <c r="O935" s="14"/>
    </row>
    <row r="936" ht="15.75" customHeight="1">
      <c r="B936" s="44"/>
      <c r="C936" s="44"/>
      <c r="F936" s="15"/>
      <c r="J936" s="29"/>
      <c r="N936" s="30"/>
      <c r="O936" s="14"/>
    </row>
    <row r="937" ht="15.75" customHeight="1">
      <c r="B937" s="44"/>
      <c r="C937" s="44"/>
      <c r="F937" s="15"/>
      <c r="J937" s="29"/>
      <c r="N937" s="30"/>
      <c r="O937" s="14"/>
    </row>
    <row r="938" ht="15.75" customHeight="1">
      <c r="B938" s="44"/>
      <c r="C938" s="44"/>
      <c r="F938" s="15"/>
      <c r="J938" s="29"/>
      <c r="N938" s="30"/>
      <c r="O938" s="14"/>
    </row>
    <row r="939" ht="15.75" customHeight="1">
      <c r="B939" s="44"/>
      <c r="C939" s="44"/>
      <c r="F939" s="15"/>
      <c r="J939" s="29"/>
      <c r="N939" s="30"/>
      <c r="O939" s="14"/>
    </row>
    <row r="940" ht="15.75" customHeight="1">
      <c r="B940" s="44"/>
      <c r="C940" s="44"/>
      <c r="F940" s="15"/>
      <c r="J940" s="29"/>
      <c r="N940" s="30"/>
      <c r="O940" s="14"/>
    </row>
    <row r="941" ht="15.75" customHeight="1">
      <c r="B941" s="44"/>
      <c r="C941" s="44"/>
      <c r="F941" s="15"/>
      <c r="J941" s="29"/>
      <c r="N941" s="30"/>
      <c r="O941" s="14"/>
    </row>
    <row r="942" ht="15.75" customHeight="1">
      <c r="B942" s="44"/>
      <c r="C942" s="44"/>
      <c r="F942" s="15"/>
      <c r="J942" s="29"/>
      <c r="N942" s="30"/>
      <c r="O942" s="14"/>
    </row>
    <row r="943" ht="15.75" customHeight="1">
      <c r="B943" s="44"/>
      <c r="C943" s="44"/>
      <c r="F943" s="15"/>
      <c r="J943" s="29"/>
      <c r="N943" s="30"/>
      <c r="O943" s="14"/>
    </row>
    <row r="944" ht="15.75" customHeight="1">
      <c r="B944" s="44"/>
      <c r="C944" s="44"/>
      <c r="F944" s="15"/>
      <c r="J944" s="29"/>
      <c r="N944" s="30"/>
      <c r="O944" s="14"/>
    </row>
    <row r="945" ht="15.75" customHeight="1">
      <c r="B945" s="44"/>
      <c r="C945" s="44"/>
      <c r="F945" s="15"/>
      <c r="J945" s="29"/>
      <c r="N945" s="30"/>
      <c r="O945" s="14"/>
    </row>
    <row r="946" ht="15.75" customHeight="1">
      <c r="B946" s="44"/>
      <c r="C946" s="44"/>
      <c r="F946" s="15"/>
      <c r="J946" s="29"/>
      <c r="N946" s="30"/>
      <c r="O946" s="14"/>
    </row>
    <row r="947" ht="15.75" customHeight="1">
      <c r="B947" s="44"/>
      <c r="C947" s="44"/>
      <c r="F947" s="15"/>
      <c r="J947" s="29"/>
      <c r="N947" s="30"/>
      <c r="O947" s="14"/>
    </row>
    <row r="948" ht="15.75" customHeight="1">
      <c r="B948" s="44"/>
      <c r="C948" s="44"/>
      <c r="F948" s="15"/>
      <c r="J948" s="29"/>
      <c r="N948" s="30"/>
      <c r="O948" s="14"/>
    </row>
    <row r="949" ht="15.75" customHeight="1">
      <c r="B949" s="44"/>
      <c r="C949" s="44"/>
      <c r="F949" s="15"/>
      <c r="J949" s="29"/>
      <c r="N949" s="30"/>
      <c r="O949" s="14"/>
    </row>
    <row r="950" ht="15.75" customHeight="1">
      <c r="B950" s="44"/>
      <c r="C950" s="44"/>
      <c r="F950" s="15"/>
      <c r="J950" s="29"/>
      <c r="N950" s="30"/>
      <c r="O950" s="14"/>
    </row>
    <row r="951" ht="15.75" customHeight="1">
      <c r="B951" s="44"/>
      <c r="C951" s="44"/>
      <c r="F951" s="15"/>
      <c r="J951" s="29"/>
      <c r="N951" s="30"/>
      <c r="O951" s="14"/>
    </row>
    <row r="952" ht="15.75" customHeight="1">
      <c r="B952" s="44"/>
      <c r="C952" s="44"/>
      <c r="F952" s="15"/>
      <c r="J952" s="29"/>
      <c r="N952" s="30"/>
      <c r="O952" s="14"/>
    </row>
    <row r="953" ht="15.75" customHeight="1">
      <c r="B953" s="44"/>
      <c r="C953" s="44"/>
      <c r="F953" s="15"/>
      <c r="J953" s="29"/>
      <c r="N953" s="30"/>
      <c r="O953" s="14"/>
    </row>
    <row r="954" ht="15.75" customHeight="1">
      <c r="B954" s="44"/>
      <c r="C954" s="44"/>
      <c r="F954" s="15"/>
      <c r="J954" s="29"/>
      <c r="N954" s="30"/>
      <c r="O954" s="14"/>
    </row>
    <row r="955" ht="15.75" customHeight="1">
      <c r="B955" s="44"/>
      <c r="C955" s="44"/>
      <c r="F955" s="15"/>
      <c r="J955" s="29"/>
      <c r="N955" s="30"/>
      <c r="O955" s="14"/>
    </row>
    <row r="956" ht="15.75" customHeight="1">
      <c r="B956" s="44"/>
      <c r="C956" s="44"/>
      <c r="F956" s="15"/>
      <c r="J956" s="29"/>
      <c r="N956" s="30"/>
      <c r="O956" s="14"/>
    </row>
    <row r="957" ht="15.75" customHeight="1">
      <c r="B957" s="44"/>
      <c r="C957" s="44"/>
      <c r="F957" s="15"/>
      <c r="J957" s="29"/>
      <c r="N957" s="30"/>
      <c r="O957" s="14"/>
    </row>
    <row r="958" ht="15.75" customHeight="1">
      <c r="B958" s="44"/>
      <c r="C958" s="44"/>
      <c r="F958" s="15"/>
      <c r="J958" s="29"/>
      <c r="N958" s="30"/>
      <c r="O958" s="14"/>
    </row>
    <row r="959" ht="15.75" customHeight="1">
      <c r="B959" s="44"/>
      <c r="C959" s="44"/>
      <c r="F959" s="15"/>
      <c r="J959" s="29"/>
      <c r="N959" s="30"/>
      <c r="O959" s="14"/>
    </row>
    <row r="960" ht="15.75" customHeight="1">
      <c r="B960" s="44"/>
      <c r="C960" s="44"/>
      <c r="F960" s="15"/>
      <c r="J960" s="29"/>
      <c r="N960" s="30"/>
      <c r="O960" s="14"/>
    </row>
    <row r="961" ht="15.75" customHeight="1">
      <c r="B961" s="44"/>
      <c r="C961" s="44"/>
      <c r="F961" s="15"/>
      <c r="J961" s="29"/>
      <c r="N961" s="30"/>
      <c r="O961" s="14"/>
    </row>
    <row r="962" ht="15.75" customHeight="1">
      <c r="B962" s="44"/>
      <c r="C962" s="44"/>
      <c r="F962" s="15"/>
      <c r="J962" s="29"/>
      <c r="N962" s="30"/>
      <c r="O962" s="14"/>
    </row>
    <row r="963" ht="15.75" customHeight="1">
      <c r="B963" s="44"/>
      <c r="C963" s="44"/>
      <c r="F963" s="15"/>
      <c r="J963" s="29"/>
      <c r="N963" s="30"/>
      <c r="O963" s="14"/>
    </row>
    <row r="964" ht="15.75" customHeight="1">
      <c r="B964" s="44"/>
      <c r="C964" s="44"/>
      <c r="F964" s="15"/>
      <c r="J964" s="29"/>
      <c r="N964" s="30"/>
      <c r="O964" s="14"/>
    </row>
    <row r="965" ht="15.75" customHeight="1">
      <c r="B965" s="44"/>
      <c r="C965" s="44"/>
      <c r="F965" s="15"/>
      <c r="J965" s="29"/>
      <c r="N965" s="30"/>
      <c r="O965" s="14"/>
    </row>
    <row r="966" ht="15.75" customHeight="1">
      <c r="B966" s="44"/>
      <c r="C966" s="44"/>
      <c r="F966" s="15"/>
      <c r="J966" s="29"/>
      <c r="N966" s="30"/>
      <c r="O966" s="14"/>
    </row>
    <row r="967" ht="15.75" customHeight="1">
      <c r="B967" s="44"/>
      <c r="C967" s="44"/>
      <c r="F967" s="15"/>
      <c r="J967" s="29"/>
      <c r="N967" s="30"/>
      <c r="O967" s="14"/>
    </row>
    <row r="968" ht="15.75" customHeight="1">
      <c r="B968" s="44"/>
      <c r="C968" s="44"/>
      <c r="F968" s="15"/>
      <c r="J968" s="29"/>
      <c r="N968" s="30"/>
      <c r="O968" s="14"/>
    </row>
    <row r="969" ht="15.75" customHeight="1">
      <c r="B969" s="44"/>
      <c r="C969" s="44"/>
      <c r="F969" s="15"/>
      <c r="J969" s="29"/>
      <c r="N969" s="30"/>
      <c r="O969" s="14"/>
    </row>
    <row r="970" ht="15.75" customHeight="1">
      <c r="B970" s="44"/>
      <c r="C970" s="44"/>
      <c r="F970" s="15"/>
      <c r="J970" s="29"/>
      <c r="N970" s="30"/>
      <c r="O970" s="14"/>
    </row>
    <row r="971" ht="15.75" customHeight="1">
      <c r="B971" s="44"/>
      <c r="C971" s="44"/>
      <c r="F971" s="15"/>
      <c r="J971" s="29"/>
      <c r="N971" s="30"/>
      <c r="O971" s="14"/>
    </row>
    <row r="972" ht="15.75" customHeight="1">
      <c r="B972" s="44"/>
      <c r="C972" s="44"/>
      <c r="F972" s="15"/>
      <c r="J972" s="29"/>
      <c r="N972" s="30"/>
      <c r="O972" s="14"/>
    </row>
    <row r="973" ht="15.75" customHeight="1">
      <c r="B973" s="44"/>
      <c r="C973" s="44"/>
      <c r="F973" s="15"/>
      <c r="J973" s="29"/>
      <c r="N973" s="30"/>
      <c r="O973" s="14"/>
    </row>
    <row r="974" ht="15.75" customHeight="1">
      <c r="B974" s="44"/>
      <c r="C974" s="44"/>
      <c r="F974" s="15"/>
      <c r="J974" s="29"/>
      <c r="N974" s="30"/>
      <c r="O974" s="14"/>
    </row>
    <row r="975" ht="15.75" customHeight="1">
      <c r="B975" s="44"/>
      <c r="C975" s="44"/>
      <c r="F975" s="15"/>
      <c r="J975" s="29"/>
      <c r="N975" s="30"/>
      <c r="O975" s="14"/>
    </row>
    <row r="976" ht="15.75" customHeight="1">
      <c r="B976" s="44"/>
      <c r="C976" s="44"/>
      <c r="F976" s="15"/>
      <c r="J976" s="29"/>
      <c r="N976" s="30"/>
      <c r="O976" s="14"/>
    </row>
    <row r="977" ht="15.75" customHeight="1">
      <c r="B977" s="44"/>
      <c r="C977" s="44"/>
      <c r="F977" s="15"/>
      <c r="J977" s="29"/>
      <c r="N977" s="30"/>
      <c r="O977" s="14"/>
    </row>
    <row r="978" ht="15.75" customHeight="1">
      <c r="B978" s="44"/>
      <c r="C978" s="44"/>
      <c r="F978" s="15"/>
      <c r="J978" s="29"/>
      <c r="N978" s="30"/>
      <c r="O978" s="14"/>
    </row>
    <row r="979" ht="15.75" customHeight="1">
      <c r="B979" s="44"/>
      <c r="C979" s="44"/>
      <c r="F979" s="15"/>
      <c r="J979" s="29"/>
      <c r="N979" s="30"/>
      <c r="O979" s="1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0.86"/>
    <col customWidth="1" min="3" max="3" width="14.57"/>
    <col customWidth="1" min="4" max="4" width="63.57"/>
    <col customWidth="1" min="5" max="5" width="14.43"/>
    <col customWidth="1" min="6" max="6" width="9.43"/>
    <col customWidth="1" min="7" max="7" width="33.29"/>
    <col customWidth="1" min="8" max="8" width="21.71"/>
    <col customWidth="1" min="9" max="9" width="9.43"/>
    <col hidden="1" min="11" max="12" width="14.4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J1" s="7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10" t="s">
        <v>1</v>
      </c>
    </row>
    <row r="2" ht="15.75" hidden="1" customHeight="1">
      <c r="A2" s="1" t="s">
        <v>13</v>
      </c>
      <c r="B2" s="11" t="str">
        <f t="shared" ref="B2:B155" si="1">O2</f>
        <v>E</v>
      </c>
      <c r="C2" s="12"/>
      <c r="D2" s="4" t="s">
        <v>14</v>
      </c>
      <c r="E2" s="4">
        <v>27985.0</v>
      </c>
      <c r="F2" s="6" t="s">
        <v>15</v>
      </c>
      <c r="G2" s="13" t="s">
        <v>16</v>
      </c>
      <c r="H2" s="6" t="s">
        <v>17</v>
      </c>
      <c r="I2" s="8"/>
      <c r="J2" s="8" t="s">
        <v>15</v>
      </c>
      <c r="K2" s="8" t="s">
        <v>18</v>
      </c>
      <c r="L2" s="8" t="s">
        <v>19</v>
      </c>
      <c r="M2" s="6">
        <f t="shared" ref="M2:M23" si="2">if(F2=J2,1, 0)</f>
        <v>1</v>
      </c>
      <c r="O2" s="14" t="str">
        <f t="shared" ref="O2:O155" si="3">if(F2=J2,F2,N2)</f>
        <v>E</v>
      </c>
    </row>
    <row r="3" ht="15.75" hidden="1" customHeight="1">
      <c r="A3" s="1" t="s">
        <v>20</v>
      </c>
      <c r="B3" s="11" t="str">
        <f t="shared" si="1"/>
        <v>E</v>
      </c>
      <c r="C3" s="12"/>
      <c r="D3" s="4" t="s">
        <v>21</v>
      </c>
      <c r="E3" s="4">
        <v>6980.0</v>
      </c>
      <c r="F3" s="6" t="s">
        <v>15</v>
      </c>
      <c r="G3" s="6" t="s">
        <v>22</v>
      </c>
      <c r="H3" s="6" t="s">
        <v>17</v>
      </c>
      <c r="J3" s="8" t="s">
        <v>15</v>
      </c>
      <c r="K3" s="8" t="s">
        <v>23</v>
      </c>
      <c r="L3" s="8" t="s">
        <v>24</v>
      </c>
      <c r="M3" s="6">
        <f t="shared" si="2"/>
        <v>1</v>
      </c>
      <c r="O3" s="14" t="str">
        <f t="shared" si="3"/>
        <v>E</v>
      </c>
    </row>
    <row r="4" ht="15.75" hidden="1" customHeight="1">
      <c r="A4" s="1" t="s">
        <v>25</v>
      </c>
      <c r="B4" s="11" t="str">
        <f t="shared" si="1"/>
        <v>E</v>
      </c>
      <c r="C4" s="12"/>
      <c r="D4" s="4" t="s">
        <v>26</v>
      </c>
      <c r="E4" s="4">
        <v>9285.0</v>
      </c>
      <c r="F4" s="6" t="s">
        <v>15</v>
      </c>
      <c r="G4" s="6" t="s">
        <v>22</v>
      </c>
      <c r="H4" s="6" t="s">
        <v>17</v>
      </c>
      <c r="J4" s="8" t="s">
        <v>15</v>
      </c>
      <c r="K4" s="8" t="s">
        <v>27</v>
      </c>
      <c r="L4" s="8" t="s">
        <v>28</v>
      </c>
      <c r="M4" s="6">
        <f t="shared" si="2"/>
        <v>1</v>
      </c>
      <c r="O4" s="14" t="str">
        <f t="shared" si="3"/>
        <v>E</v>
      </c>
    </row>
    <row r="5" ht="15.75" hidden="1" customHeight="1">
      <c r="A5" s="1" t="s">
        <v>29</v>
      </c>
      <c r="B5" s="11" t="str">
        <f t="shared" si="1"/>
        <v>E</v>
      </c>
      <c r="C5" s="12"/>
      <c r="D5" s="4" t="s">
        <v>30</v>
      </c>
      <c r="E5" s="4">
        <v>15369.0</v>
      </c>
      <c r="F5" s="6" t="s">
        <v>15</v>
      </c>
      <c r="G5" s="6" t="s">
        <v>16</v>
      </c>
      <c r="H5" s="6" t="s">
        <v>31</v>
      </c>
      <c r="I5" s="8" t="s">
        <v>32</v>
      </c>
      <c r="J5" s="8" t="s">
        <v>15</v>
      </c>
      <c r="K5" s="8" t="s">
        <v>33</v>
      </c>
      <c r="L5" s="8" t="s">
        <v>19</v>
      </c>
      <c r="M5" s="6">
        <f t="shared" si="2"/>
        <v>1</v>
      </c>
      <c r="N5" s="8" t="s">
        <v>15</v>
      </c>
      <c r="O5" s="14" t="str">
        <f t="shared" si="3"/>
        <v>E</v>
      </c>
    </row>
    <row r="6" ht="15.75" hidden="1" customHeight="1">
      <c r="A6" s="1" t="s">
        <v>34</v>
      </c>
      <c r="B6" s="11" t="str">
        <f t="shared" si="1"/>
        <v>E</v>
      </c>
      <c r="C6" s="12"/>
      <c r="D6" s="4" t="s">
        <v>35</v>
      </c>
      <c r="E6" s="4">
        <v>35133.0</v>
      </c>
      <c r="F6" s="6" t="s">
        <v>15</v>
      </c>
      <c r="G6" s="6" t="s">
        <v>36</v>
      </c>
      <c r="H6" s="6" t="s">
        <v>31</v>
      </c>
      <c r="J6" s="8" t="s">
        <v>15</v>
      </c>
      <c r="K6" s="8" t="s">
        <v>37</v>
      </c>
      <c r="L6" s="8" t="s">
        <v>19</v>
      </c>
      <c r="M6" s="6">
        <f t="shared" si="2"/>
        <v>1</v>
      </c>
      <c r="O6" s="14" t="str">
        <f t="shared" si="3"/>
        <v>E</v>
      </c>
    </row>
    <row r="7" ht="15.75" hidden="1" customHeight="1">
      <c r="A7" s="1" t="s">
        <v>38</v>
      </c>
      <c r="B7" s="11" t="str">
        <f t="shared" si="1"/>
        <v>E</v>
      </c>
      <c r="C7" s="12"/>
      <c r="D7" s="4" t="s">
        <v>39</v>
      </c>
      <c r="E7" s="4">
        <v>15797.0</v>
      </c>
      <c r="F7" s="5" t="s">
        <v>15</v>
      </c>
      <c r="G7" s="6" t="s">
        <v>40</v>
      </c>
      <c r="H7" s="6" t="s">
        <v>31</v>
      </c>
      <c r="J7" s="7" t="s">
        <v>41</v>
      </c>
      <c r="K7" s="8" t="s">
        <v>42</v>
      </c>
      <c r="L7" s="8" t="s">
        <v>43</v>
      </c>
      <c r="M7" s="6">
        <f t="shared" si="2"/>
        <v>0</v>
      </c>
      <c r="N7" s="9" t="s">
        <v>15</v>
      </c>
      <c r="O7" s="14" t="str">
        <f t="shared" si="3"/>
        <v>E</v>
      </c>
    </row>
    <row r="8" ht="15.75" hidden="1" customHeight="1">
      <c r="A8" s="1" t="s">
        <v>44</v>
      </c>
      <c r="B8" s="11" t="str">
        <f t="shared" si="1"/>
        <v>E</v>
      </c>
      <c r="C8" s="12"/>
      <c r="D8" s="4" t="s">
        <v>45</v>
      </c>
      <c r="E8" s="4">
        <v>13731.0</v>
      </c>
      <c r="F8" s="15" t="s">
        <v>15</v>
      </c>
      <c r="G8" s="6" t="s">
        <v>40</v>
      </c>
      <c r="H8" s="6" t="s">
        <v>31</v>
      </c>
      <c r="J8" s="7" t="s">
        <v>41</v>
      </c>
      <c r="K8" s="8" t="s">
        <v>42</v>
      </c>
      <c r="L8" s="8" t="s">
        <v>43</v>
      </c>
      <c r="M8" s="6">
        <f t="shared" si="2"/>
        <v>0</v>
      </c>
      <c r="N8" s="9" t="s">
        <v>15</v>
      </c>
      <c r="O8" s="14" t="str">
        <f t="shared" si="3"/>
        <v>E</v>
      </c>
    </row>
    <row r="9" ht="15.75" hidden="1" customHeight="1">
      <c r="A9" s="1" t="s">
        <v>46</v>
      </c>
      <c r="B9" s="11" t="str">
        <f t="shared" si="1"/>
        <v>E</v>
      </c>
      <c r="C9" s="12"/>
      <c r="D9" s="4" t="s">
        <v>47</v>
      </c>
      <c r="E9" s="4">
        <v>11780.0</v>
      </c>
      <c r="F9" s="6" t="s">
        <v>15</v>
      </c>
      <c r="G9" s="6" t="s">
        <v>22</v>
      </c>
      <c r="H9" s="6" t="s">
        <v>17</v>
      </c>
      <c r="J9" s="8" t="s">
        <v>15</v>
      </c>
      <c r="K9" s="8" t="s">
        <v>48</v>
      </c>
      <c r="L9" s="8" t="s">
        <v>28</v>
      </c>
      <c r="M9" s="6">
        <f t="shared" si="2"/>
        <v>1</v>
      </c>
      <c r="O9" s="14" t="str">
        <f t="shared" si="3"/>
        <v>E</v>
      </c>
    </row>
    <row r="10" ht="15.75" customHeight="1">
      <c r="A10" s="1" t="s">
        <v>49</v>
      </c>
      <c r="B10" s="11" t="str">
        <f t="shared" si="1"/>
        <v>G</v>
      </c>
      <c r="C10" s="12"/>
      <c r="D10" s="4" t="s">
        <v>50</v>
      </c>
      <c r="E10" s="4">
        <v>27863.0</v>
      </c>
      <c r="F10" s="8" t="s">
        <v>51</v>
      </c>
      <c r="G10" s="8" t="s">
        <v>52</v>
      </c>
      <c r="H10" s="6" t="s">
        <v>53</v>
      </c>
      <c r="J10" s="8" t="s">
        <v>51</v>
      </c>
      <c r="K10" s="8" t="s">
        <v>54</v>
      </c>
      <c r="L10" s="8" t="s">
        <v>53</v>
      </c>
      <c r="M10" s="6">
        <f t="shared" si="2"/>
        <v>1</v>
      </c>
      <c r="O10" s="14" t="str">
        <f t="shared" si="3"/>
        <v>G</v>
      </c>
    </row>
    <row r="11" ht="15.75" customHeight="1">
      <c r="A11" s="1" t="s">
        <v>55</v>
      </c>
      <c r="B11" s="11" t="str">
        <f t="shared" si="1"/>
        <v>G</v>
      </c>
      <c r="C11" s="12"/>
      <c r="D11" s="4" t="s">
        <v>56</v>
      </c>
      <c r="E11" s="4">
        <v>9053.0</v>
      </c>
      <c r="F11" s="6" t="s">
        <v>51</v>
      </c>
      <c r="G11" s="6" t="s">
        <v>57</v>
      </c>
      <c r="H11" s="6" t="s">
        <v>53</v>
      </c>
      <c r="J11" s="8" t="s">
        <v>51</v>
      </c>
      <c r="K11" s="8" t="s">
        <v>54</v>
      </c>
      <c r="L11" s="8" t="s">
        <v>53</v>
      </c>
      <c r="M11" s="6">
        <f t="shared" si="2"/>
        <v>1</v>
      </c>
      <c r="O11" s="14" t="str">
        <f t="shared" si="3"/>
        <v>G</v>
      </c>
    </row>
    <row r="12" ht="15.75" customHeight="1">
      <c r="A12" s="1" t="s">
        <v>58</v>
      </c>
      <c r="B12" s="11" t="str">
        <f t="shared" si="1"/>
        <v>G</v>
      </c>
      <c r="C12" s="12"/>
      <c r="D12" s="4" t="s">
        <v>59</v>
      </c>
      <c r="E12" s="4">
        <v>12380.0</v>
      </c>
      <c r="F12" s="6" t="s">
        <v>51</v>
      </c>
      <c r="G12" s="6" t="s">
        <v>60</v>
      </c>
      <c r="H12" s="6" t="s">
        <v>53</v>
      </c>
      <c r="J12" s="8" t="s">
        <v>51</v>
      </c>
      <c r="K12" s="8" t="s">
        <v>61</v>
      </c>
      <c r="L12" s="8" t="s">
        <v>53</v>
      </c>
      <c r="M12" s="6">
        <f t="shared" si="2"/>
        <v>1</v>
      </c>
      <c r="O12" s="14" t="str">
        <f t="shared" si="3"/>
        <v>G</v>
      </c>
    </row>
    <row r="13" ht="15.75" hidden="1" customHeight="1">
      <c r="A13" s="1" t="s">
        <v>62</v>
      </c>
      <c r="B13" s="11" t="str">
        <f t="shared" si="1"/>
        <v>I</v>
      </c>
      <c r="C13" s="12"/>
      <c r="D13" s="4" t="s">
        <v>63</v>
      </c>
      <c r="E13" s="4">
        <v>24997.0</v>
      </c>
      <c r="F13" s="6" t="s">
        <v>64</v>
      </c>
      <c r="G13" s="6" t="s">
        <v>65</v>
      </c>
      <c r="H13" s="6" t="s">
        <v>53</v>
      </c>
      <c r="J13" s="8" t="s">
        <v>64</v>
      </c>
      <c r="K13" s="8" t="s">
        <v>65</v>
      </c>
      <c r="L13" s="8" t="s">
        <v>53</v>
      </c>
      <c r="M13" s="6">
        <f t="shared" si="2"/>
        <v>1</v>
      </c>
      <c r="O13" s="14" t="str">
        <f t="shared" si="3"/>
        <v>I</v>
      </c>
    </row>
    <row r="14" ht="15.75" hidden="1" customHeight="1">
      <c r="A14" s="1" t="s">
        <v>66</v>
      </c>
      <c r="B14" s="11" t="str">
        <f t="shared" si="1"/>
        <v>E</v>
      </c>
      <c r="C14" s="12"/>
      <c r="D14" s="4" t="s">
        <v>67</v>
      </c>
      <c r="E14" s="4">
        <v>6011.0</v>
      </c>
      <c r="F14" s="6" t="s">
        <v>15</v>
      </c>
      <c r="G14" s="6">
        <v>1984.0</v>
      </c>
      <c r="H14" s="6" t="s">
        <v>17</v>
      </c>
      <c r="J14" s="8" t="s">
        <v>15</v>
      </c>
      <c r="K14" s="8" t="s">
        <v>68</v>
      </c>
      <c r="L14" s="8" t="s">
        <v>28</v>
      </c>
      <c r="M14" s="6">
        <f t="shared" si="2"/>
        <v>1</v>
      </c>
      <c r="O14" s="14" t="str">
        <f t="shared" si="3"/>
        <v>E</v>
      </c>
    </row>
    <row r="15" ht="15.75" hidden="1" customHeight="1">
      <c r="A15" s="1" t="s">
        <v>69</v>
      </c>
      <c r="B15" s="11" t="str">
        <f t="shared" si="1"/>
        <v>E</v>
      </c>
      <c r="C15" s="12"/>
      <c r="D15" s="4" t="s">
        <v>70</v>
      </c>
      <c r="E15" s="4">
        <v>25784.0</v>
      </c>
      <c r="F15" s="6" t="s">
        <v>15</v>
      </c>
      <c r="G15" s="6" t="s">
        <v>36</v>
      </c>
      <c r="H15" s="6" t="s">
        <v>31</v>
      </c>
      <c r="J15" s="8" t="s">
        <v>15</v>
      </c>
      <c r="K15" s="8" t="s">
        <v>71</v>
      </c>
      <c r="L15" s="8" t="s">
        <v>43</v>
      </c>
      <c r="M15" s="6">
        <f t="shared" si="2"/>
        <v>1</v>
      </c>
      <c r="O15" s="14" t="str">
        <f t="shared" si="3"/>
        <v>E</v>
      </c>
    </row>
    <row r="16" ht="15.75" customHeight="1">
      <c r="A16" s="1" t="s">
        <v>72</v>
      </c>
      <c r="B16" s="11" t="str">
        <f t="shared" si="1"/>
        <v>G</v>
      </c>
      <c r="C16" s="12"/>
      <c r="D16" s="4" t="s">
        <v>73</v>
      </c>
      <c r="E16" s="4">
        <v>30303.0</v>
      </c>
      <c r="F16" s="6" t="s">
        <v>51</v>
      </c>
      <c r="G16" s="6" t="s">
        <v>74</v>
      </c>
      <c r="H16" s="6" t="s">
        <v>53</v>
      </c>
      <c r="J16" s="8" t="s">
        <v>51</v>
      </c>
      <c r="K16" s="8" t="s">
        <v>75</v>
      </c>
      <c r="L16" s="8" t="s">
        <v>53</v>
      </c>
      <c r="M16" s="6">
        <f t="shared" si="2"/>
        <v>1</v>
      </c>
      <c r="O16" s="14" t="str">
        <f t="shared" si="3"/>
        <v>G</v>
      </c>
    </row>
    <row r="17" ht="15.75" customHeight="1">
      <c r="A17" s="1" t="s">
        <v>76</v>
      </c>
      <c r="B17" s="11" t="str">
        <f t="shared" si="1"/>
        <v>G</v>
      </c>
      <c r="C17" s="12"/>
      <c r="D17" s="4" t="s">
        <v>77</v>
      </c>
      <c r="E17" s="4">
        <v>16559.0</v>
      </c>
      <c r="F17" s="15" t="s">
        <v>51</v>
      </c>
      <c r="G17" s="6" t="s">
        <v>74</v>
      </c>
      <c r="H17" s="6" t="s">
        <v>53</v>
      </c>
      <c r="J17" s="7" t="s">
        <v>41</v>
      </c>
      <c r="K17" s="8" t="s">
        <v>78</v>
      </c>
      <c r="L17" s="8" t="s">
        <v>43</v>
      </c>
      <c r="M17" s="6">
        <f t="shared" si="2"/>
        <v>0</v>
      </c>
      <c r="N17" s="9" t="s">
        <v>51</v>
      </c>
      <c r="O17" s="14" t="str">
        <f t="shared" si="3"/>
        <v>G</v>
      </c>
    </row>
    <row r="18" ht="15.75" customHeight="1">
      <c r="A18" s="1" t="s">
        <v>79</v>
      </c>
      <c r="B18" s="11" t="str">
        <f t="shared" si="1"/>
        <v>G</v>
      </c>
      <c r="C18" s="12"/>
      <c r="D18" s="4" t="s">
        <v>80</v>
      </c>
      <c r="E18" s="4">
        <v>132.0</v>
      </c>
      <c r="F18" s="15" t="s">
        <v>51</v>
      </c>
      <c r="G18" s="6" t="s">
        <v>74</v>
      </c>
      <c r="H18" s="6" t="s">
        <v>53</v>
      </c>
      <c r="J18" s="7" t="s">
        <v>41</v>
      </c>
      <c r="K18" s="8" t="s">
        <v>78</v>
      </c>
      <c r="L18" s="8" t="s">
        <v>43</v>
      </c>
      <c r="M18" s="6">
        <f t="shared" si="2"/>
        <v>0</v>
      </c>
      <c r="N18" s="9" t="s">
        <v>51</v>
      </c>
      <c r="O18" s="14" t="str">
        <f t="shared" si="3"/>
        <v>G</v>
      </c>
    </row>
    <row r="19" ht="15.75" hidden="1" customHeight="1">
      <c r="A19" s="1" t="s">
        <v>81</v>
      </c>
      <c r="B19" s="11" t="str">
        <f t="shared" si="1"/>
        <v>E</v>
      </c>
      <c r="C19" s="12"/>
      <c r="D19" s="4" t="s">
        <v>82</v>
      </c>
      <c r="E19" s="4">
        <v>10383.0</v>
      </c>
      <c r="F19" s="15" t="s">
        <v>15</v>
      </c>
      <c r="G19" s="6" t="s">
        <v>83</v>
      </c>
      <c r="H19" s="6" t="s">
        <v>53</v>
      </c>
      <c r="J19" s="7" t="s">
        <v>41</v>
      </c>
      <c r="K19" s="8" t="s">
        <v>84</v>
      </c>
      <c r="L19" s="8" t="s">
        <v>43</v>
      </c>
      <c r="M19" s="6">
        <f t="shared" si="2"/>
        <v>0</v>
      </c>
      <c r="N19" s="9" t="s">
        <v>15</v>
      </c>
      <c r="O19" s="14" t="str">
        <f t="shared" si="3"/>
        <v>E</v>
      </c>
    </row>
    <row r="20" ht="15.75" customHeight="1">
      <c r="A20" s="1" t="s">
        <v>85</v>
      </c>
      <c r="B20" s="11" t="str">
        <f t="shared" si="1"/>
        <v>G</v>
      </c>
      <c r="C20" s="12"/>
      <c r="D20" s="4" t="s">
        <v>86</v>
      </c>
      <c r="E20" s="4">
        <v>12255.0</v>
      </c>
      <c r="F20" s="6" t="s">
        <v>51</v>
      </c>
      <c r="G20" s="6" t="s">
        <v>87</v>
      </c>
      <c r="H20" s="6" t="s">
        <v>53</v>
      </c>
      <c r="J20" s="8" t="s">
        <v>51</v>
      </c>
      <c r="K20" s="8" t="s">
        <v>88</v>
      </c>
      <c r="L20" s="8" t="s">
        <v>53</v>
      </c>
      <c r="M20" s="6">
        <f t="shared" si="2"/>
        <v>1</v>
      </c>
      <c r="O20" s="14" t="str">
        <f t="shared" si="3"/>
        <v>G</v>
      </c>
    </row>
    <row r="21" ht="15.75" customHeight="1">
      <c r="A21" s="1" t="s">
        <v>89</v>
      </c>
      <c r="B21" s="11" t="str">
        <f t="shared" si="1"/>
        <v>G</v>
      </c>
      <c r="C21" s="12"/>
      <c r="D21" s="4" t="s">
        <v>90</v>
      </c>
      <c r="E21" s="4">
        <v>17404.0</v>
      </c>
      <c r="F21" s="6" t="s">
        <v>51</v>
      </c>
      <c r="G21" s="6" t="s">
        <v>87</v>
      </c>
      <c r="H21" s="6" t="s">
        <v>53</v>
      </c>
      <c r="J21" s="8" t="s">
        <v>51</v>
      </c>
      <c r="K21" s="8" t="s">
        <v>88</v>
      </c>
      <c r="L21" s="8" t="s">
        <v>91</v>
      </c>
      <c r="M21" s="6">
        <f t="shared" si="2"/>
        <v>1</v>
      </c>
      <c r="O21" s="14" t="str">
        <f t="shared" si="3"/>
        <v>G</v>
      </c>
    </row>
    <row r="22" ht="15.75" customHeight="1">
      <c r="A22" s="16" t="s">
        <v>89</v>
      </c>
      <c r="B22" s="11" t="str">
        <f t="shared" si="1"/>
        <v>G</v>
      </c>
      <c r="C22" s="12"/>
      <c r="D22" s="4" t="s">
        <v>92</v>
      </c>
      <c r="E22" s="4">
        <v>867.0</v>
      </c>
      <c r="F22" s="6" t="s">
        <v>51</v>
      </c>
      <c r="G22" s="6" t="s">
        <v>87</v>
      </c>
      <c r="H22" s="6" t="s">
        <v>53</v>
      </c>
      <c r="J22" s="8" t="s">
        <v>51</v>
      </c>
      <c r="K22" s="8" t="s">
        <v>88</v>
      </c>
      <c r="L22" s="8" t="s">
        <v>91</v>
      </c>
      <c r="M22" s="6">
        <f t="shared" si="2"/>
        <v>1</v>
      </c>
      <c r="O22" s="14" t="str">
        <f t="shared" si="3"/>
        <v>G</v>
      </c>
    </row>
    <row r="23" ht="15.75" hidden="1" customHeight="1">
      <c r="A23" s="1" t="s">
        <v>93</v>
      </c>
      <c r="B23" s="11" t="str">
        <f t="shared" si="1"/>
        <v>I</v>
      </c>
      <c r="C23" s="12"/>
      <c r="D23" s="4" t="s">
        <v>94</v>
      </c>
      <c r="E23" s="4">
        <v>13202.0</v>
      </c>
      <c r="F23" s="8" t="s">
        <v>64</v>
      </c>
      <c r="G23" s="6" t="s">
        <v>65</v>
      </c>
      <c r="H23" s="6" t="s">
        <v>53</v>
      </c>
      <c r="J23" s="8" t="s">
        <v>64</v>
      </c>
      <c r="K23" s="8" t="s">
        <v>65</v>
      </c>
      <c r="L23" s="8" t="s">
        <v>53</v>
      </c>
      <c r="M23" s="6">
        <f t="shared" si="2"/>
        <v>1</v>
      </c>
      <c r="O23" s="14" t="str">
        <f t="shared" si="3"/>
        <v>I</v>
      </c>
    </row>
    <row r="24" ht="15.75" hidden="1" customHeight="1">
      <c r="A24" s="1" t="s">
        <v>95</v>
      </c>
      <c r="B24" s="11" t="str">
        <f t="shared" si="1"/>
        <v>M</v>
      </c>
      <c r="C24" s="12"/>
      <c r="D24" s="4" t="s">
        <v>96</v>
      </c>
      <c r="E24" s="4">
        <v>36243.0</v>
      </c>
      <c r="F24" s="15" t="s">
        <v>51</v>
      </c>
      <c r="G24" s="6" t="s">
        <v>97</v>
      </c>
      <c r="H24" s="6" t="s">
        <v>98</v>
      </c>
      <c r="J24" s="7" t="s">
        <v>41</v>
      </c>
      <c r="K24" s="8" t="s">
        <v>99</v>
      </c>
      <c r="L24" s="8" t="s">
        <v>28</v>
      </c>
      <c r="M24" s="9">
        <v>0.0</v>
      </c>
      <c r="N24" s="8" t="s">
        <v>100</v>
      </c>
      <c r="O24" s="14" t="str">
        <f t="shared" si="3"/>
        <v>M</v>
      </c>
    </row>
    <row r="25" ht="15.75" hidden="1" customHeight="1">
      <c r="A25" s="1" t="s">
        <v>101</v>
      </c>
      <c r="B25" s="11" t="str">
        <f t="shared" si="1"/>
        <v>I</v>
      </c>
      <c r="C25" s="12"/>
      <c r="D25" s="4" t="s">
        <v>102</v>
      </c>
      <c r="E25" s="4">
        <v>13413.0</v>
      </c>
      <c r="F25" s="6" t="s">
        <v>64</v>
      </c>
      <c r="G25" s="6" t="s">
        <v>65</v>
      </c>
      <c r="H25" s="6" t="s">
        <v>53</v>
      </c>
      <c r="J25" s="8" t="s">
        <v>64</v>
      </c>
      <c r="K25" s="8" t="s">
        <v>65</v>
      </c>
      <c r="L25" s="8" t="s">
        <v>43</v>
      </c>
      <c r="M25" s="6">
        <f t="shared" ref="M25:M35" si="4">if(F25=J25,1, 0)</f>
        <v>1</v>
      </c>
      <c r="O25" s="14" t="str">
        <f t="shared" si="3"/>
        <v>I</v>
      </c>
    </row>
    <row r="26" ht="15.75" customHeight="1">
      <c r="A26" s="1" t="s">
        <v>103</v>
      </c>
      <c r="B26" s="11" t="str">
        <f t="shared" si="1"/>
        <v>G</v>
      </c>
      <c r="C26" s="12"/>
      <c r="D26" s="4" t="s">
        <v>104</v>
      </c>
      <c r="E26" s="4">
        <v>11387.0</v>
      </c>
      <c r="F26" s="15" t="s">
        <v>51</v>
      </c>
      <c r="G26" s="8" t="s">
        <v>105</v>
      </c>
      <c r="H26" s="8" t="s">
        <v>53</v>
      </c>
      <c r="J26" s="7" t="s">
        <v>41</v>
      </c>
      <c r="K26" s="8" t="s">
        <v>106</v>
      </c>
      <c r="L26" s="8" t="s">
        <v>43</v>
      </c>
      <c r="M26" s="6">
        <f t="shared" si="4"/>
        <v>0</v>
      </c>
      <c r="N26" s="9" t="s">
        <v>51</v>
      </c>
      <c r="O26" s="14" t="str">
        <f t="shared" si="3"/>
        <v>G</v>
      </c>
    </row>
    <row r="27" ht="15.75" hidden="1" customHeight="1">
      <c r="A27" s="1" t="s">
        <v>107</v>
      </c>
      <c r="B27" s="11" t="str">
        <f t="shared" si="1"/>
        <v>M</v>
      </c>
      <c r="C27" s="12"/>
      <c r="D27" s="4" t="s">
        <v>108</v>
      </c>
      <c r="E27" s="4">
        <v>26525.0</v>
      </c>
      <c r="F27" s="15" t="s">
        <v>15</v>
      </c>
      <c r="G27" s="6" t="s">
        <v>109</v>
      </c>
      <c r="H27" s="6" t="s">
        <v>31</v>
      </c>
      <c r="J27" s="7" t="s">
        <v>41</v>
      </c>
      <c r="K27" s="8" t="s">
        <v>110</v>
      </c>
      <c r="L27" s="8" t="s">
        <v>19</v>
      </c>
      <c r="M27" s="6">
        <f t="shared" si="4"/>
        <v>0</v>
      </c>
      <c r="N27" s="9" t="s">
        <v>100</v>
      </c>
      <c r="O27" s="14" t="str">
        <f t="shared" si="3"/>
        <v>M</v>
      </c>
    </row>
    <row r="28" ht="15.75" hidden="1" customHeight="1">
      <c r="A28" s="1" t="s">
        <v>111</v>
      </c>
      <c r="B28" s="11" t="str">
        <f t="shared" si="1"/>
        <v>M</v>
      </c>
      <c r="C28" s="12"/>
      <c r="D28" s="4" t="s">
        <v>112</v>
      </c>
      <c r="E28" s="4">
        <v>145822.0</v>
      </c>
      <c r="F28" s="15" t="s">
        <v>51</v>
      </c>
      <c r="G28" s="6" t="s">
        <v>97</v>
      </c>
      <c r="H28" s="6" t="s">
        <v>98</v>
      </c>
      <c r="J28" s="7" t="s">
        <v>41</v>
      </c>
      <c r="K28" s="8" t="s">
        <v>110</v>
      </c>
      <c r="L28" s="8" t="s">
        <v>28</v>
      </c>
      <c r="M28" s="6">
        <f t="shared" si="4"/>
        <v>0</v>
      </c>
      <c r="N28" s="9" t="s">
        <v>100</v>
      </c>
      <c r="O28" s="14" t="str">
        <f t="shared" si="3"/>
        <v>M</v>
      </c>
    </row>
    <row r="29" ht="15.75" hidden="1" customHeight="1">
      <c r="A29" s="1" t="s">
        <v>113</v>
      </c>
      <c r="B29" s="11" t="str">
        <f t="shared" si="1"/>
        <v>M</v>
      </c>
      <c r="C29" s="12"/>
      <c r="D29" s="4" t="s">
        <v>114</v>
      </c>
      <c r="E29" s="4">
        <v>12905.0</v>
      </c>
      <c r="F29" s="15" t="s">
        <v>51</v>
      </c>
      <c r="G29" s="8" t="s">
        <v>105</v>
      </c>
      <c r="H29" s="8" t="s">
        <v>53</v>
      </c>
      <c r="J29" s="7" t="s">
        <v>41</v>
      </c>
      <c r="K29" s="8" t="s">
        <v>115</v>
      </c>
      <c r="L29" s="8" t="s">
        <v>53</v>
      </c>
      <c r="M29" s="6">
        <f t="shared" si="4"/>
        <v>0</v>
      </c>
      <c r="N29" s="9" t="s">
        <v>100</v>
      </c>
      <c r="O29" s="14" t="str">
        <f t="shared" si="3"/>
        <v>M</v>
      </c>
    </row>
    <row r="30" ht="15.75" customHeight="1">
      <c r="A30" s="1" t="s">
        <v>116</v>
      </c>
      <c r="B30" s="11" t="str">
        <f t="shared" si="1"/>
        <v>G</v>
      </c>
      <c r="C30" s="12"/>
      <c r="D30" s="4" t="s">
        <v>117</v>
      </c>
      <c r="E30" s="4">
        <v>12293.0</v>
      </c>
      <c r="F30" s="15" t="s">
        <v>51</v>
      </c>
      <c r="G30" s="6" t="s">
        <v>74</v>
      </c>
      <c r="H30" s="6" t="s">
        <v>53</v>
      </c>
      <c r="J30" s="7" t="s">
        <v>41</v>
      </c>
      <c r="K30" s="8" t="s">
        <v>118</v>
      </c>
      <c r="L30" s="8" t="s">
        <v>119</v>
      </c>
      <c r="M30" s="6">
        <f t="shared" si="4"/>
        <v>0</v>
      </c>
      <c r="N30" s="9" t="s">
        <v>51</v>
      </c>
      <c r="O30" s="14" t="str">
        <f t="shared" si="3"/>
        <v>G</v>
      </c>
    </row>
    <row r="31" ht="15.75" customHeight="1">
      <c r="A31" s="1" t="s">
        <v>120</v>
      </c>
      <c r="B31" s="11" t="str">
        <f t="shared" si="1"/>
        <v>G</v>
      </c>
      <c r="C31" s="12"/>
      <c r="D31" s="4" t="s">
        <v>121</v>
      </c>
      <c r="E31" s="4">
        <v>26794.0</v>
      </c>
      <c r="F31" s="15" t="s">
        <v>51</v>
      </c>
      <c r="G31" s="6" t="s">
        <v>74</v>
      </c>
      <c r="H31" s="6" t="s">
        <v>53</v>
      </c>
      <c r="J31" s="7" t="s">
        <v>41</v>
      </c>
      <c r="K31" s="8" t="s">
        <v>118</v>
      </c>
      <c r="L31" s="8" t="s">
        <v>119</v>
      </c>
      <c r="M31" s="6">
        <f t="shared" si="4"/>
        <v>0</v>
      </c>
      <c r="N31" s="9" t="s">
        <v>51</v>
      </c>
      <c r="O31" s="14" t="str">
        <f t="shared" si="3"/>
        <v>G</v>
      </c>
    </row>
    <row r="32" ht="15.75" hidden="1" customHeight="1">
      <c r="A32" s="1" t="s">
        <v>122</v>
      </c>
      <c r="B32" s="11" t="str">
        <f t="shared" si="1"/>
        <v>I</v>
      </c>
      <c r="C32" s="12"/>
      <c r="D32" s="4" t="s">
        <v>123</v>
      </c>
      <c r="E32" s="4">
        <v>36870.0</v>
      </c>
      <c r="F32" s="15" t="s">
        <v>64</v>
      </c>
      <c r="G32" s="6" t="s">
        <v>65</v>
      </c>
      <c r="H32" s="6" t="s">
        <v>53</v>
      </c>
      <c r="J32" s="7" t="s">
        <v>41</v>
      </c>
      <c r="K32" s="8" t="s">
        <v>124</v>
      </c>
      <c r="L32" s="8" t="s">
        <v>119</v>
      </c>
      <c r="M32" s="6">
        <f t="shared" si="4"/>
        <v>0</v>
      </c>
      <c r="N32" s="9" t="s">
        <v>64</v>
      </c>
      <c r="O32" s="14" t="str">
        <f t="shared" si="3"/>
        <v>I</v>
      </c>
    </row>
    <row r="33" ht="15.75" hidden="1" customHeight="1">
      <c r="A33" s="1" t="s">
        <v>125</v>
      </c>
      <c r="B33" s="11" t="str">
        <f t="shared" si="1"/>
        <v>M</v>
      </c>
      <c r="C33" s="12"/>
      <c r="D33" s="4" t="s">
        <v>126</v>
      </c>
      <c r="E33" s="4">
        <v>40055.0</v>
      </c>
      <c r="F33" s="15" t="s">
        <v>51</v>
      </c>
      <c r="G33" s="6" t="s">
        <v>97</v>
      </c>
      <c r="H33" s="8" t="s">
        <v>53</v>
      </c>
      <c r="J33" s="7" t="s">
        <v>41</v>
      </c>
      <c r="K33" s="8" t="s">
        <v>119</v>
      </c>
      <c r="L33" s="8" t="s">
        <v>119</v>
      </c>
      <c r="M33" s="6">
        <f t="shared" si="4"/>
        <v>0</v>
      </c>
      <c r="N33" s="9" t="s">
        <v>100</v>
      </c>
      <c r="O33" s="14" t="str">
        <f t="shared" si="3"/>
        <v>M</v>
      </c>
    </row>
    <row r="34" ht="15.75" hidden="1" customHeight="1">
      <c r="A34" s="1" t="s">
        <v>127</v>
      </c>
      <c r="B34" s="11" t="str">
        <f t="shared" si="1"/>
        <v>I</v>
      </c>
      <c r="C34" s="12"/>
      <c r="D34" s="4" t="s">
        <v>128</v>
      </c>
      <c r="E34" s="4">
        <v>14581.0</v>
      </c>
      <c r="F34" s="6" t="s">
        <v>64</v>
      </c>
      <c r="G34" s="6" t="s">
        <v>65</v>
      </c>
      <c r="H34" s="6" t="s">
        <v>53</v>
      </c>
      <c r="J34" s="8" t="s">
        <v>64</v>
      </c>
      <c r="K34" s="8" t="s">
        <v>65</v>
      </c>
      <c r="L34" s="8" t="s">
        <v>53</v>
      </c>
      <c r="M34" s="6">
        <f t="shared" si="4"/>
        <v>1</v>
      </c>
      <c r="O34" s="14" t="str">
        <f t="shared" si="3"/>
        <v>I</v>
      </c>
    </row>
    <row r="35" ht="15.75" hidden="1" customHeight="1">
      <c r="A35" s="1" t="s">
        <v>129</v>
      </c>
      <c r="B35" s="11" t="str">
        <f t="shared" si="1"/>
        <v>E</v>
      </c>
      <c r="C35" s="12"/>
      <c r="D35" s="4" t="s">
        <v>130</v>
      </c>
      <c r="E35" s="4">
        <v>28063.0</v>
      </c>
      <c r="F35" s="6" t="s">
        <v>15</v>
      </c>
      <c r="G35" s="6" t="s">
        <v>22</v>
      </c>
      <c r="H35" s="6" t="s">
        <v>17</v>
      </c>
      <c r="J35" s="8" t="s">
        <v>15</v>
      </c>
      <c r="K35" s="8" t="s">
        <v>131</v>
      </c>
      <c r="L35" s="8" t="s">
        <v>28</v>
      </c>
      <c r="M35" s="6">
        <f t="shared" si="4"/>
        <v>1</v>
      </c>
      <c r="O35" s="14" t="str">
        <f t="shared" si="3"/>
        <v>E</v>
      </c>
    </row>
    <row r="36" ht="15.75" customHeight="1">
      <c r="A36" s="1" t="s">
        <v>132</v>
      </c>
      <c r="B36" s="11" t="str">
        <f t="shared" si="1"/>
        <v>G</v>
      </c>
      <c r="C36" s="12"/>
      <c r="D36" s="4" t="s">
        <v>133</v>
      </c>
      <c r="E36" s="4">
        <v>33756.0</v>
      </c>
      <c r="F36" s="15" t="s">
        <v>51</v>
      </c>
      <c r="G36" s="8" t="s">
        <v>134</v>
      </c>
      <c r="H36" s="6" t="s">
        <v>53</v>
      </c>
      <c r="J36" s="7" t="s">
        <v>41</v>
      </c>
      <c r="K36" s="8" t="s">
        <v>135</v>
      </c>
      <c r="L36" s="8" t="s">
        <v>43</v>
      </c>
      <c r="M36" s="8">
        <v>0.0</v>
      </c>
      <c r="N36" s="9" t="s">
        <v>51</v>
      </c>
      <c r="O36" s="14" t="str">
        <f t="shared" si="3"/>
        <v>G</v>
      </c>
    </row>
    <row r="37" ht="15.75" hidden="1" customHeight="1">
      <c r="A37" s="1" t="s">
        <v>136</v>
      </c>
      <c r="B37" s="11" t="str">
        <f t="shared" si="1"/>
        <v>M</v>
      </c>
      <c r="C37" s="12"/>
      <c r="D37" s="4" t="s">
        <v>137</v>
      </c>
      <c r="E37" s="4">
        <v>57362.0</v>
      </c>
      <c r="F37" s="15" t="s">
        <v>51</v>
      </c>
      <c r="G37" s="6" t="s">
        <v>97</v>
      </c>
      <c r="H37" s="8" t="s">
        <v>138</v>
      </c>
      <c r="J37" s="7" t="s">
        <v>41</v>
      </c>
      <c r="K37" s="8" t="s">
        <v>139</v>
      </c>
      <c r="L37" s="8" t="s">
        <v>28</v>
      </c>
      <c r="M37" s="6">
        <f t="shared" ref="M37:M155" si="5">if(F37=J37,1, 0)</f>
        <v>0</v>
      </c>
      <c r="N37" s="9" t="s">
        <v>100</v>
      </c>
      <c r="O37" s="14" t="str">
        <f t="shared" si="3"/>
        <v>M</v>
      </c>
    </row>
    <row r="38" ht="15.75" hidden="1" customHeight="1">
      <c r="A38" s="1" t="s">
        <v>140</v>
      </c>
      <c r="B38" s="11" t="str">
        <f t="shared" si="1"/>
        <v>E</v>
      </c>
      <c r="C38" s="12"/>
      <c r="D38" s="4" t="s">
        <v>141</v>
      </c>
      <c r="E38" s="4">
        <v>810.0</v>
      </c>
      <c r="F38" s="6" t="s">
        <v>15</v>
      </c>
      <c r="G38" s="6" t="s">
        <v>142</v>
      </c>
      <c r="H38" s="6" t="s">
        <v>31</v>
      </c>
      <c r="J38" s="8" t="s">
        <v>15</v>
      </c>
      <c r="K38" s="8" t="s">
        <v>143</v>
      </c>
      <c r="L38" s="8" t="s">
        <v>19</v>
      </c>
      <c r="M38" s="6">
        <f t="shared" si="5"/>
        <v>1</v>
      </c>
      <c r="O38" s="14" t="str">
        <f t="shared" si="3"/>
        <v>E</v>
      </c>
    </row>
    <row r="39" ht="15.75" hidden="1" customHeight="1">
      <c r="A39" s="1" t="s">
        <v>144</v>
      </c>
      <c r="B39" s="11" t="str">
        <f t="shared" si="1"/>
        <v>I</v>
      </c>
      <c r="C39" s="12"/>
      <c r="D39" s="4" t="s">
        <v>145</v>
      </c>
      <c r="E39" s="4">
        <v>42522.0</v>
      </c>
      <c r="F39" s="6" t="s">
        <v>64</v>
      </c>
      <c r="G39" s="6" t="s">
        <v>65</v>
      </c>
      <c r="H39" s="6" t="s">
        <v>53</v>
      </c>
      <c r="I39" s="8" t="s">
        <v>146</v>
      </c>
      <c r="J39" s="8" t="s">
        <v>64</v>
      </c>
      <c r="K39" s="8" t="s">
        <v>147</v>
      </c>
      <c r="L39" s="8" t="s">
        <v>53</v>
      </c>
      <c r="M39" s="6">
        <f t="shared" si="5"/>
        <v>1</v>
      </c>
      <c r="O39" s="14" t="str">
        <f t="shared" si="3"/>
        <v>I</v>
      </c>
    </row>
    <row r="40" ht="15.75" hidden="1" customHeight="1">
      <c r="A40" s="1" t="s">
        <v>148</v>
      </c>
      <c r="B40" s="11" t="str">
        <f t="shared" si="1"/>
        <v>I</v>
      </c>
      <c r="C40" s="12"/>
      <c r="D40" s="4" t="s">
        <v>149</v>
      </c>
      <c r="E40" s="4">
        <v>18214.0</v>
      </c>
      <c r="F40" s="6" t="s">
        <v>64</v>
      </c>
      <c r="G40" s="6" t="s">
        <v>65</v>
      </c>
      <c r="H40" s="6" t="s">
        <v>53</v>
      </c>
      <c r="J40" s="8" t="s">
        <v>64</v>
      </c>
      <c r="K40" s="8" t="s">
        <v>65</v>
      </c>
      <c r="L40" s="8" t="s">
        <v>150</v>
      </c>
      <c r="M40" s="6">
        <f t="shared" si="5"/>
        <v>1</v>
      </c>
      <c r="O40" s="14" t="str">
        <f t="shared" si="3"/>
        <v>I</v>
      </c>
    </row>
    <row r="41" ht="15.75" hidden="1" customHeight="1">
      <c r="A41" s="1" t="s">
        <v>151</v>
      </c>
      <c r="B41" s="11" t="str">
        <f t="shared" si="1"/>
        <v>I</v>
      </c>
      <c r="C41" s="12"/>
      <c r="D41" s="4" t="s">
        <v>152</v>
      </c>
      <c r="E41" s="4">
        <v>381.0</v>
      </c>
      <c r="F41" s="6" t="s">
        <v>64</v>
      </c>
      <c r="G41" s="6" t="s">
        <v>65</v>
      </c>
      <c r="H41" s="6" t="s">
        <v>53</v>
      </c>
      <c r="J41" s="8" t="s">
        <v>64</v>
      </c>
      <c r="K41" s="8" t="s">
        <v>65</v>
      </c>
      <c r="L41" s="8" t="s">
        <v>28</v>
      </c>
      <c r="M41" s="6">
        <f t="shared" si="5"/>
        <v>1</v>
      </c>
      <c r="O41" s="14" t="str">
        <f t="shared" si="3"/>
        <v>I</v>
      </c>
    </row>
    <row r="42" ht="15.75" hidden="1" customHeight="1">
      <c r="A42" s="1" t="s">
        <v>153</v>
      </c>
      <c r="B42" s="11" t="str">
        <f t="shared" si="1"/>
        <v>I</v>
      </c>
      <c r="C42" s="12"/>
      <c r="D42" s="4" t="s">
        <v>154</v>
      </c>
      <c r="E42" s="4">
        <v>59956.0</v>
      </c>
      <c r="F42" s="6" t="s">
        <v>64</v>
      </c>
      <c r="G42" s="6" t="s">
        <v>65</v>
      </c>
      <c r="H42" s="6" t="s">
        <v>53</v>
      </c>
      <c r="I42" s="6" t="s">
        <v>155</v>
      </c>
      <c r="J42" s="8" t="s">
        <v>64</v>
      </c>
      <c r="K42" s="8" t="s">
        <v>156</v>
      </c>
      <c r="L42" s="8" t="s">
        <v>150</v>
      </c>
      <c r="M42" s="6">
        <f t="shared" si="5"/>
        <v>1</v>
      </c>
      <c r="O42" s="14" t="str">
        <f t="shared" si="3"/>
        <v>I</v>
      </c>
    </row>
    <row r="43" ht="15.75" hidden="1" customHeight="1">
      <c r="A43" s="1" t="s">
        <v>157</v>
      </c>
      <c r="B43" s="11" t="str">
        <f t="shared" si="1"/>
        <v>S</v>
      </c>
      <c r="C43" s="12"/>
      <c r="D43" s="4" t="s">
        <v>158</v>
      </c>
      <c r="E43" s="4">
        <v>17216.0</v>
      </c>
      <c r="F43" s="6" t="s">
        <v>41</v>
      </c>
      <c r="G43" s="6" t="s">
        <v>159</v>
      </c>
      <c r="H43" s="6" t="s">
        <v>53</v>
      </c>
      <c r="J43" s="8" t="s">
        <v>41</v>
      </c>
      <c r="K43" s="8" t="s">
        <v>160</v>
      </c>
      <c r="L43" s="8" t="s">
        <v>161</v>
      </c>
      <c r="M43" s="6">
        <f t="shared" si="5"/>
        <v>1</v>
      </c>
      <c r="O43" s="14" t="str">
        <f t="shared" si="3"/>
        <v>S</v>
      </c>
    </row>
    <row r="44" ht="15.75" hidden="1" customHeight="1">
      <c r="A44" s="1" t="s">
        <v>162</v>
      </c>
      <c r="B44" s="11" t="str">
        <f t="shared" si="1"/>
        <v>S</v>
      </c>
      <c r="C44" s="12"/>
      <c r="D44" s="4" t="s">
        <v>163</v>
      </c>
      <c r="E44" s="4">
        <v>12392.0</v>
      </c>
      <c r="F44" s="6" t="s">
        <v>41</v>
      </c>
      <c r="G44" s="6" t="s">
        <v>159</v>
      </c>
      <c r="H44" s="6" t="s">
        <v>53</v>
      </c>
      <c r="J44" s="8" t="s">
        <v>41</v>
      </c>
      <c r="K44" s="8" t="s">
        <v>164</v>
      </c>
      <c r="L44" s="8" t="s">
        <v>161</v>
      </c>
      <c r="M44" s="6">
        <f t="shared" si="5"/>
        <v>1</v>
      </c>
      <c r="O44" s="14" t="str">
        <f t="shared" si="3"/>
        <v>S</v>
      </c>
    </row>
    <row r="45" ht="15.75" hidden="1" customHeight="1">
      <c r="A45" s="1" t="s">
        <v>165</v>
      </c>
      <c r="B45" s="11" t="str">
        <f t="shared" si="1"/>
        <v>S</v>
      </c>
      <c r="C45" s="12"/>
      <c r="D45" s="4" t="s">
        <v>166</v>
      </c>
      <c r="E45" s="4">
        <v>11164.0</v>
      </c>
      <c r="F45" s="6" t="s">
        <v>41</v>
      </c>
      <c r="G45" s="6" t="s">
        <v>159</v>
      </c>
      <c r="H45" s="6" t="s">
        <v>53</v>
      </c>
      <c r="J45" s="8" t="s">
        <v>41</v>
      </c>
      <c r="K45" s="8" t="s">
        <v>167</v>
      </c>
      <c r="L45" s="8" t="s">
        <v>53</v>
      </c>
      <c r="M45" s="6">
        <f t="shared" si="5"/>
        <v>1</v>
      </c>
      <c r="O45" s="14" t="str">
        <f t="shared" si="3"/>
        <v>S</v>
      </c>
    </row>
    <row r="46" ht="15.75" hidden="1" customHeight="1">
      <c r="A46" s="1" t="s">
        <v>168</v>
      </c>
      <c r="B46" s="11" t="str">
        <f t="shared" si="1"/>
        <v>S</v>
      </c>
      <c r="C46" s="12"/>
      <c r="D46" s="4" t="s">
        <v>169</v>
      </c>
      <c r="E46" s="4">
        <v>9563.0</v>
      </c>
      <c r="F46" s="6" t="s">
        <v>41</v>
      </c>
      <c r="G46" s="6" t="s">
        <v>159</v>
      </c>
      <c r="H46" s="6" t="s">
        <v>53</v>
      </c>
      <c r="J46" s="8" t="s">
        <v>41</v>
      </c>
      <c r="K46" s="8" t="s">
        <v>170</v>
      </c>
      <c r="L46" s="8" t="s">
        <v>53</v>
      </c>
      <c r="M46" s="6">
        <f t="shared" si="5"/>
        <v>1</v>
      </c>
      <c r="O46" s="14" t="str">
        <f t="shared" si="3"/>
        <v>S</v>
      </c>
    </row>
    <row r="47" ht="15.75" hidden="1" customHeight="1">
      <c r="A47" s="1" t="s">
        <v>171</v>
      </c>
      <c r="B47" s="11" t="str">
        <f t="shared" si="1"/>
        <v>S</v>
      </c>
      <c r="C47" s="12"/>
      <c r="D47" s="4" t="s">
        <v>172</v>
      </c>
      <c r="E47" s="4">
        <v>9697.0</v>
      </c>
      <c r="F47" s="6" t="s">
        <v>41</v>
      </c>
      <c r="G47" s="6" t="s">
        <v>159</v>
      </c>
      <c r="H47" s="6" t="s">
        <v>53</v>
      </c>
      <c r="J47" s="8" t="s">
        <v>41</v>
      </c>
      <c r="K47" s="8" t="s">
        <v>170</v>
      </c>
      <c r="L47" s="8" t="s">
        <v>53</v>
      </c>
      <c r="M47" s="6">
        <f t="shared" si="5"/>
        <v>1</v>
      </c>
      <c r="O47" s="14" t="str">
        <f t="shared" si="3"/>
        <v>S</v>
      </c>
    </row>
    <row r="48" ht="15.75" hidden="1" customHeight="1">
      <c r="A48" s="1" t="s">
        <v>173</v>
      </c>
      <c r="B48" s="11" t="str">
        <f t="shared" si="1"/>
        <v>S</v>
      </c>
      <c r="C48" s="12"/>
      <c r="D48" s="4" t="s">
        <v>174</v>
      </c>
      <c r="E48" s="4">
        <v>11165.0</v>
      </c>
      <c r="F48" s="6" t="s">
        <v>41</v>
      </c>
      <c r="G48" s="6" t="s">
        <v>159</v>
      </c>
      <c r="H48" s="6" t="s">
        <v>53</v>
      </c>
      <c r="J48" s="8" t="s">
        <v>41</v>
      </c>
      <c r="K48" s="8" t="s">
        <v>175</v>
      </c>
      <c r="L48" s="8" t="s">
        <v>53</v>
      </c>
      <c r="M48" s="6">
        <f t="shared" si="5"/>
        <v>1</v>
      </c>
      <c r="O48" s="14" t="str">
        <f t="shared" si="3"/>
        <v>S</v>
      </c>
    </row>
    <row r="49" ht="15.75" customHeight="1">
      <c r="A49" s="17" t="s">
        <v>176</v>
      </c>
      <c r="B49" s="11" t="str">
        <f t="shared" si="1"/>
        <v>G</v>
      </c>
      <c r="C49" s="18"/>
      <c r="D49" s="19" t="s">
        <v>177</v>
      </c>
      <c r="E49" s="19">
        <v>88730.0</v>
      </c>
      <c r="F49" s="20" t="s">
        <v>51</v>
      </c>
      <c r="G49" s="21" t="s">
        <v>105</v>
      </c>
      <c r="H49" s="21" t="s">
        <v>53</v>
      </c>
      <c r="I49" s="21"/>
      <c r="J49" s="22" t="s">
        <v>41</v>
      </c>
      <c r="K49" s="21"/>
      <c r="L49" s="23" t="s">
        <v>161</v>
      </c>
      <c r="M49" s="21">
        <f t="shared" si="5"/>
        <v>0</v>
      </c>
      <c r="N49" s="24" t="s">
        <v>51</v>
      </c>
      <c r="O49" s="14" t="str">
        <f t="shared" si="3"/>
        <v>G</v>
      </c>
    </row>
    <row r="50" ht="15.75" customHeight="1">
      <c r="A50" s="1" t="s">
        <v>178</v>
      </c>
      <c r="B50" s="11" t="str">
        <f t="shared" si="1"/>
        <v>G</v>
      </c>
      <c r="C50" s="12"/>
      <c r="D50" s="4" t="s">
        <v>179</v>
      </c>
      <c r="E50" s="4">
        <v>23604.0</v>
      </c>
      <c r="F50" s="15" t="s">
        <v>51</v>
      </c>
      <c r="G50" s="6" t="s">
        <v>105</v>
      </c>
      <c r="H50" s="6" t="s">
        <v>180</v>
      </c>
      <c r="J50" s="7" t="s">
        <v>41</v>
      </c>
      <c r="K50" s="8" t="s">
        <v>181</v>
      </c>
      <c r="L50" s="8" t="s">
        <v>119</v>
      </c>
      <c r="M50" s="6">
        <f t="shared" si="5"/>
        <v>0</v>
      </c>
      <c r="N50" s="9" t="s">
        <v>51</v>
      </c>
      <c r="O50" s="14" t="str">
        <f t="shared" si="3"/>
        <v>G</v>
      </c>
    </row>
    <row r="51" ht="15.75" hidden="1" customHeight="1">
      <c r="A51" s="1" t="s">
        <v>182</v>
      </c>
      <c r="B51" s="11" t="str">
        <f t="shared" si="1"/>
        <v>S</v>
      </c>
      <c r="C51" s="12"/>
      <c r="D51" s="4" t="s">
        <v>183</v>
      </c>
      <c r="E51" s="4">
        <v>10713.0</v>
      </c>
      <c r="F51" s="15" t="s">
        <v>51</v>
      </c>
      <c r="G51" s="6" t="s">
        <v>105</v>
      </c>
      <c r="H51" s="6" t="s">
        <v>180</v>
      </c>
      <c r="J51" s="7" t="s">
        <v>41</v>
      </c>
      <c r="K51" s="8" t="s">
        <v>184</v>
      </c>
      <c r="L51" s="8" t="s">
        <v>119</v>
      </c>
      <c r="M51" s="6">
        <f t="shared" si="5"/>
        <v>0</v>
      </c>
      <c r="N51" s="9" t="s">
        <v>41</v>
      </c>
      <c r="O51" s="14" t="str">
        <f t="shared" si="3"/>
        <v>S</v>
      </c>
    </row>
    <row r="52" ht="15.75" customHeight="1">
      <c r="A52" s="1" t="s">
        <v>185</v>
      </c>
      <c r="B52" s="11" t="str">
        <f t="shared" si="1"/>
        <v>G</v>
      </c>
      <c r="C52" s="12"/>
      <c r="D52" s="4" t="s">
        <v>186</v>
      </c>
      <c r="E52" s="4">
        <v>18890.0</v>
      </c>
      <c r="F52" s="6" t="s">
        <v>51</v>
      </c>
      <c r="G52" s="6" t="s">
        <v>187</v>
      </c>
      <c r="H52" s="6" t="s">
        <v>53</v>
      </c>
      <c r="J52" s="8" t="s">
        <v>51</v>
      </c>
      <c r="K52" s="8" t="s">
        <v>188</v>
      </c>
      <c r="L52" s="8" t="s">
        <v>53</v>
      </c>
      <c r="M52" s="6">
        <f t="shared" si="5"/>
        <v>1</v>
      </c>
      <c r="O52" s="14" t="str">
        <f t="shared" si="3"/>
        <v>G</v>
      </c>
    </row>
    <row r="53" ht="15.75" hidden="1" customHeight="1">
      <c r="A53" s="1" t="s">
        <v>189</v>
      </c>
      <c r="B53" s="11" t="str">
        <f t="shared" si="1"/>
        <v>M</v>
      </c>
      <c r="C53" s="12"/>
      <c r="D53" s="4" t="s">
        <v>190</v>
      </c>
      <c r="E53" s="4">
        <v>31647.0</v>
      </c>
      <c r="F53" s="15" t="s">
        <v>51</v>
      </c>
      <c r="G53" s="6" t="s">
        <v>191</v>
      </c>
      <c r="J53" s="7" t="s">
        <v>41</v>
      </c>
      <c r="K53" s="8" t="s">
        <v>192</v>
      </c>
      <c r="L53" s="8" t="s">
        <v>193</v>
      </c>
      <c r="M53" s="6">
        <f t="shared" si="5"/>
        <v>0</v>
      </c>
      <c r="N53" s="9" t="s">
        <v>100</v>
      </c>
      <c r="O53" s="14" t="str">
        <f t="shared" si="3"/>
        <v>M</v>
      </c>
    </row>
    <row r="54" ht="15.75" hidden="1" customHeight="1">
      <c r="A54" s="1" t="s">
        <v>194</v>
      </c>
      <c r="B54" s="11" t="str">
        <f t="shared" si="1"/>
        <v>M</v>
      </c>
      <c r="C54" s="12"/>
      <c r="D54" s="4" t="s">
        <v>195</v>
      </c>
      <c r="E54" s="4">
        <v>13626.0</v>
      </c>
      <c r="F54" s="15" t="s">
        <v>51</v>
      </c>
      <c r="G54" s="6" t="s">
        <v>196</v>
      </c>
      <c r="J54" s="7" t="s">
        <v>41</v>
      </c>
      <c r="K54" s="8" t="s">
        <v>197</v>
      </c>
      <c r="L54" s="8" t="s">
        <v>28</v>
      </c>
      <c r="M54" s="6">
        <f t="shared" si="5"/>
        <v>0</v>
      </c>
      <c r="N54" s="9" t="s">
        <v>100</v>
      </c>
      <c r="O54" s="14" t="str">
        <f t="shared" si="3"/>
        <v>M</v>
      </c>
    </row>
    <row r="55" ht="15.75" hidden="1" customHeight="1">
      <c r="A55" s="1" t="s">
        <v>198</v>
      </c>
      <c r="B55" s="11" t="str">
        <f t="shared" si="1"/>
        <v>M</v>
      </c>
      <c r="C55" s="12"/>
      <c r="D55" s="4" t="s">
        <v>199</v>
      </c>
      <c r="E55" s="4">
        <v>170576.0</v>
      </c>
      <c r="F55" s="15" t="s">
        <v>51</v>
      </c>
      <c r="G55" s="6" t="s">
        <v>196</v>
      </c>
      <c r="J55" s="7" t="s">
        <v>41</v>
      </c>
      <c r="K55" s="8" t="s">
        <v>200</v>
      </c>
      <c r="L55" s="8" t="s">
        <v>28</v>
      </c>
      <c r="M55" s="6">
        <f t="shared" si="5"/>
        <v>0</v>
      </c>
      <c r="N55" s="9" t="s">
        <v>100</v>
      </c>
      <c r="O55" s="14" t="str">
        <f t="shared" si="3"/>
        <v>M</v>
      </c>
    </row>
    <row r="56" ht="15.75" hidden="1" customHeight="1">
      <c r="A56" s="1" t="s">
        <v>201</v>
      </c>
      <c r="B56" s="11" t="str">
        <f t="shared" si="1"/>
        <v>E</v>
      </c>
      <c r="C56" s="12"/>
      <c r="D56" s="4" t="s">
        <v>202</v>
      </c>
      <c r="E56" s="4">
        <v>1405.0</v>
      </c>
      <c r="F56" s="15" t="s">
        <v>15</v>
      </c>
      <c r="G56" s="6" t="s">
        <v>142</v>
      </c>
      <c r="H56" s="8" t="s">
        <v>31</v>
      </c>
      <c r="J56" s="7" t="s">
        <v>41</v>
      </c>
      <c r="K56" s="8" t="s">
        <v>203</v>
      </c>
      <c r="L56" s="8" t="s">
        <v>28</v>
      </c>
      <c r="M56" s="6">
        <f t="shared" si="5"/>
        <v>0</v>
      </c>
      <c r="N56" s="9" t="s">
        <v>15</v>
      </c>
      <c r="O56" s="14" t="str">
        <f t="shared" si="3"/>
        <v>E</v>
      </c>
    </row>
    <row r="57" ht="15.75" hidden="1" customHeight="1">
      <c r="A57" s="1" t="s">
        <v>204</v>
      </c>
      <c r="B57" s="11" t="str">
        <f t="shared" si="1"/>
        <v>E</v>
      </c>
      <c r="C57" s="12"/>
      <c r="D57" s="4" t="s">
        <v>205</v>
      </c>
      <c r="E57" s="4">
        <v>57074.0</v>
      </c>
      <c r="F57" s="15" t="s">
        <v>15</v>
      </c>
      <c r="G57" s="6" t="s">
        <v>142</v>
      </c>
      <c r="H57" s="8" t="s">
        <v>31</v>
      </c>
      <c r="J57" s="7" t="s">
        <v>41</v>
      </c>
      <c r="K57" s="8" t="s">
        <v>203</v>
      </c>
      <c r="L57" s="8" t="s">
        <v>28</v>
      </c>
      <c r="M57" s="6">
        <f t="shared" si="5"/>
        <v>0</v>
      </c>
      <c r="N57" s="9" t="s">
        <v>15</v>
      </c>
      <c r="O57" s="14" t="str">
        <f t="shared" si="3"/>
        <v>E</v>
      </c>
    </row>
    <row r="58" ht="15.75" hidden="1" customHeight="1">
      <c r="A58" s="1" t="s">
        <v>206</v>
      </c>
      <c r="B58" s="11" t="str">
        <f t="shared" si="1"/>
        <v>E</v>
      </c>
      <c r="C58" s="12"/>
      <c r="D58" s="4" t="s">
        <v>207</v>
      </c>
      <c r="E58" s="4">
        <v>1208.0</v>
      </c>
      <c r="F58" s="15" t="s">
        <v>15</v>
      </c>
      <c r="G58" s="6" t="s">
        <v>142</v>
      </c>
      <c r="H58" s="8" t="s">
        <v>31</v>
      </c>
      <c r="J58" s="7" t="s">
        <v>41</v>
      </c>
      <c r="K58" s="8" t="s">
        <v>203</v>
      </c>
      <c r="L58" s="8" t="s">
        <v>28</v>
      </c>
      <c r="M58" s="6">
        <f t="shared" si="5"/>
        <v>0</v>
      </c>
      <c r="N58" s="9" t="s">
        <v>15</v>
      </c>
      <c r="O58" s="14" t="str">
        <f t="shared" si="3"/>
        <v>E</v>
      </c>
    </row>
    <row r="59" ht="15.75" customHeight="1">
      <c r="A59" s="17" t="s">
        <v>208</v>
      </c>
      <c r="B59" s="11" t="str">
        <f t="shared" si="1"/>
        <v>G</v>
      </c>
      <c r="C59" s="18"/>
      <c r="D59" s="19" t="s">
        <v>209</v>
      </c>
      <c r="E59" s="19">
        <v>18268.0</v>
      </c>
      <c r="F59" s="20" t="s">
        <v>51</v>
      </c>
      <c r="G59" s="21" t="s">
        <v>105</v>
      </c>
      <c r="H59" s="21" t="s">
        <v>180</v>
      </c>
      <c r="I59" s="21"/>
      <c r="J59" s="22" t="s">
        <v>41</v>
      </c>
      <c r="K59" s="23" t="s">
        <v>184</v>
      </c>
      <c r="L59" s="23" t="s">
        <v>210</v>
      </c>
      <c r="M59" s="21">
        <f t="shared" si="5"/>
        <v>0</v>
      </c>
      <c r="N59" s="24" t="s">
        <v>51</v>
      </c>
      <c r="O59" s="14" t="str">
        <f t="shared" si="3"/>
        <v>G</v>
      </c>
    </row>
    <row r="60" ht="15.75" hidden="1" customHeight="1">
      <c r="A60" s="1" t="s">
        <v>211</v>
      </c>
      <c r="B60" s="11" t="str">
        <f t="shared" si="1"/>
        <v>S</v>
      </c>
      <c r="C60" s="12"/>
      <c r="D60" s="4" t="s">
        <v>212</v>
      </c>
      <c r="E60" s="4">
        <v>8640.0</v>
      </c>
      <c r="F60" s="15" t="s">
        <v>64</v>
      </c>
      <c r="H60" s="6" t="s">
        <v>180</v>
      </c>
      <c r="J60" s="7" t="s">
        <v>41</v>
      </c>
      <c r="K60" s="8" t="s">
        <v>181</v>
      </c>
      <c r="L60" s="8" t="s">
        <v>119</v>
      </c>
      <c r="M60" s="6">
        <f t="shared" si="5"/>
        <v>0</v>
      </c>
      <c r="N60" s="9" t="s">
        <v>41</v>
      </c>
      <c r="O60" s="14" t="str">
        <f t="shared" si="3"/>
        <v>S</v>
      </c>
    </row>
    <row r="61" ht="15.75" hidden="1" customHeight="1">
      <c r="A61" s="1" t="s">
        <v>213</v>
      </c>
      <c r="B61" s="11" t="str">
        <f t="shared" si="1"/>
        <v>S</v>
      </c>
      <c r="C61" s="12"/>
      <c r="D61" s="4" t="s">
        <v>214</v>
      </c>
      <c r="E61" s="4">
        <v>18177.0</v>
      </c>
      <c r="F61" s="15" t="s">
        <v>64</v>
      </c>
      <c r="H61" s="6" t="s">
        <v>180</v>
      </c>
      <c r="J61" s="7" t="s">
        <v>41</v>
      </c>
      <c r="K61" s="8" t="s">
        <v>181</v>
      </c>
      <c r="L61" s="8" t="s">
        <v>119</v>
      </c>
      <c r="M61" s="6">
        <f t="shared" si="5"/>
        <v>0</v>
      </c>
      <c r="N61" s="9" t="s">
        <v>41</v>
      </c>
      <c r="O61" s="14" t="str">
        <f t="shared" si="3"/>
        <v>S</v>
      </c>
    </row>
    <row r="62" ht="15.75" hidden="1" customHeight="1">
      <c r="A62" s="1" t="s">
        <v>215</v>
      </c>
      <c r="B62" s="11" t="str">
        <f t="shared" si="1"/>
        <v>M</v>
      </c>
      <c r="C62" s="12"/>
      <c r="D62" s="4" t="s">
        <v>216</v>
      </c>
      <c r="E62" s="4">
        <v>16962.0</v>
      </c>
      <c r="F62" s="15" t="s">
        <v>51</v>
      </c>
      <c r="G62" s="6" t="s">
        <v>97</v>
      </c>
      <c r="H62" s="6" t="s">
        <v>180</v>
      </c>
      <c r="J62" s="7" t="s">
        <v>41</v>
      </c>
      <c r="K62" s="8" t="s">
        <v>217</v>
      </c>
      <c r="L62" s="8" t="s">
        <v>119</v>
      </c>
      <c r="M62" s="6">
        <f t="shared" si="5"/>
        <v>0</v>
      </c>
      <c r="N62" s="9" t="s">
        <v>100</v>
      </c>
      <c r="O62" s="14" t="str">
        <f t="shared" si="3"/>
        <v>M</v>
      </c>
    </row>
    <row r="63" ht="15.75" hidden="1" customHeight="1">
      <c r="A63" s="1" t="s">
        <v>218</v>
      </c>
      <c r="B63" s="11" t="str">
        <f t="shared" si="1"/>
        <v>I</v>
      </c>
      <c r="C63" s="12"/>
      <c r="D63" s="4" t="s">
        <v>219</v>
      </c>
      <c r="E63" s="4">
        <v>15480.0</v>
      </c>
      <c r="F63" s="6" t="s">
        <v>64</v>
      </c>
      <c r="G63" s="6" t="s">
        <v>65</v>
      </c>
      <c r="H63" s="6" t="s">
        <v>53</v>
      </c>
      <c r="J63" s="8" t="s">
        <v>64</v>
      </c>
      <c r="K63" s="8" t="s">
        <v>65</v>
      </c>
      <c r="L63" s="8" t="s">
        <v>119</v>
      </c>
      <c r="M63" s="6">
        <f t="shared" si="5"/>
        <v>1</v>
      </c>
      <c r="O63" s="14" t="str">
        <f t="shared" si="3"/>
        <v>I</v>
      </c>
    </row>
    <row r="64" ht="15.75" hidden="1" customHeight="1">
      <c r="A64" s="1" t="s">
        <v>220</v>
      </c>
      <c r="B64" s="11" t="str">
        <f t="shared" si="1"/>
        <v>I</v>
      </c>
      <c r="C64" s="12"/>
      <c r="D64" s="4" t="s">
        <v>221</v>
      </c>
      <c r="E64" s="4">
        <v>23824.0</v>
      </c>
      <c r="F64" s="8" t="s">
        <v>64</v>
      </c>
      <c r="G64" s="8" t="s">
        <v>222</v>
      </c>
      <c r="H64" s="8" t="s">
        <v>180</v>
      </c>
      <c r="J64" s="8" t="s">
        <v>64</v>
      </c>
      <c r="K64" s="8" t="s">
        <v>223</v>
      </c>
      <c r="L64" s="8" t="s">
        <v>119</v>
      </c>
      <c r="M64" s="6">
        <f t="shared" si="5"/>
        <v>1</v>
      </c>
      <c r="O64" s="14" t="str">
        <f t="shared" si="3"/>
        <v>I</v>
      </c>
    </row>
    <row r="65" ht="15.75" hidden="1" customHeight="1">
      <c r="A65" s="1" t="s">
        <v>224</v>
      </c>
      <c r="B65" s="11" t="str">
        <f t="shared" si="1"/>
        <v>E</v>
      </c>
      <c r="C65" s="12"/>
      <c r="D65" s="4" t="s">
        <v>225</v>
      </c>
      <c r="E65" s="4">
        <v>13530.0</v>
      </c>
      <c r="F65" s="15" t="s">
        <v>15</v>
      </c>
      <c r="G65" s="6" t="s">
        <v>142</v>
      </c>
      <c r="H65" s="6" t="s">
        <v>31</v>
      </c>
      <c r="J65" s="7" t="s">
        <v>41</v>
      </c>
      <c r="K65" s="8" t="s">
        <v>226</v>
      </c>
      <c r="L65" s="8" t="s">
        <v>19</v>
      </c>
      <c r="M65" s="6">
        <f t="shared" si="5"/>
        <v>0</v>
      </c>
      <c r="N65" s="9" t="s">
        <v>15</v>
      </c>
      <c r="O65" s="14" t="str">
        <f t="shared" si="3"/>
        <v>E</v>
      </c>
    </row>
    <row r="66" ht="15.75" customHeight="1">
      <c r="A66" s="1" t="s">
        <v>227</v>
      </c>
      <c r="B66" s="11" t="str">
        <f t="shared" si="1"/>
        <v>G</v>
      </c>
      <c r="C66" s="12"/>
      <c r="D66" s="4" t="s">
        <v>228</v>
      </c>
      <c r="E66" s="4">
        <v>18968.0</v>
      </c>
      <c r="F66" s="6" t="s">
        <v>51</v>
      </c>
      <c r="G66" s="6" t="s">
        <v>61</v>
      </c>
      <c r="H66" s="6" t="s">
        <v>53</v>
      </c>
      <c r="J66" s="8" t="s">
        <v>51</v>
      </c>
      <c r="K66" s="8" t="s">
        <v>61</v>
      </c>
      <c r="L66" s="8" t="s">
        <v>155</v>
      </c>
      <c r="M66" s="6">
        <f t="shared" si="5"/>
        <v>1</v>
      </c>
      <c r="O66" s="14" t="str">
        <f t="shared" si="3"/>
        <v>G</v>
      </c>
    </row>
    <row r="67" ht="15.75" hidden="1" customHeight="1">
      <c r="A67" s="1" t="s">
        <v>229</v>
      </c>
      <c r="B67" s="11" t="str">
        <f t="shared" si="1"/>
        <v>E</v>
      </c>
      <c r="C67" s="12"/>
      <c r="D67" s="4" t="s">
        <v>230</v>
      </c>
      <c r="E67" s="4">
        <v>23693.0</v>
      </c>
      <c r="F67" s="15" t="s">
        <v>15</v>
      </c>
      <c r="G67" s="6" t="s">
        <v>142</v>
      </c>
      <c r="H67" s="6" t="s">
        <v>31</v>
      </c>
      <c r="J67" s="7" t="s">
        <v>51</v>
      </c>
      <c r="K67" s="8" t="s">
        <v>231</v>
      </c>
      <c r="L67" s="8" t="s">
        <v>19</v>
      </c>
      <c r="M67" s="6">
        <f t="shared" si="5"/>
        <v>0</v>
      </c>
      <c r="N67" s="9" t="s">
        <v>15</v>
      </c>
      <c r="O67" s="14" t="str">
        <f t="shared" si="3"/>
        <v>E</v>
      </c>
    </row>
    <row r="68" ht="15.75" hidden="1" customHeight="1">
      <c r="A68" s="1" t="s">
        <v>232</v>
      </c>
      <c r="B68" s="11" t="str">
        <f t="shared" si="1"/>
        <v>I</v>
      </c>
      <c r="C68" s="12"/>
      <c r="D68" s="4" t="s">
        <v>233</v>
      </c>
      <c r="E68" s="4">
        <v>9745.0</v>
      </c>
      <c r="F68" s="6" t="s">
        <v>64</v>
      </c>
      <c r="G68" s="6" t="s">
        <v>65</v>
      </c>
      <c r="H68" s="6" t="s">
        <v>53</v>
      </c>
      <c r="J68" s="8" t="s">
        <v>64</v>
      </c>
      <c r="K68" s="8" t="s">
        <v>65</v>
      </c>
      <c r="L68" s="8" t="s">
        <v>53</v>
      </c>
      <c r="M68" s="6">
        <f t="shared" si="5"/>
        <v>1</v>
      </c>
      <c r="O68" s="14" t="str">
        <f t="shared" si="3"/>
        <v>I</v>
      </c>
    </row>
    <row r="69" ht="15.75" hidden="1" customHeight="1">
      <c r="A69" s="1" t="s">
        <v>234</v>
      </c>
      <c r="B69" s="11" t="str">
        <f t="shared" si="1"/>
        <v>I</v>
      </c>
      <c r="C69" s="12"/>
      <c r="D69" s="4" t="s">
        <v>235</v>
      </c>
      <c r="E69" s="4">
        <v>21065.0</v>
      </c>
      <c r="F69" s="6" t="s">
        <v>64</v>
      </c>
      <c r="G69" s="6" t="s">
        <v>65</v>
      </c>
      <c r="H69" s="6" t="s">
        <v>53</v>
      </c>
      <c r="J69" s="8" t="s">
        <v>64</v>
      </c>
      <c r="K69" s="8" t="s">
        <v>65</v>
      </c>
      <c r="L69" s="8" t="s">
        <v>28</v>
      </c>
      <c r="M69" s="6">
        <f t="shared" si="5"/>
        <v>1</v>
      </c>
      <c r="O69" s="14" t="str">
        <f t="shared" si="3"/>
        <v>I</v>
      </c>
    </row>
    <row r="70" ht="15.75" hidden="1" customHeight="1">
      <c r="A70" s="1" t="s">
        <v>236</v>
      </c>
      <c r="B70" s="11" t="str">
        <f t="shared" si="1"/>
        <v>I</v>
      </c>
      <c r="C70" s="12"/>
      <c r="D70" s="4" t="s">
        <v>237</v>
      </c>
      <c r="E70" s="4">
        <v>13620.0</v>
      </c>
      <c r="F70" s="6" t="s">
        <v>64</v>
      </c>
      <c r="G70" s="6" t="s">
        <v>65</v>
      </c>
      <c r="H70" s="6" t="s">
        <v>53</v>
      </c>
      <c r="J70" s="8" t="s">
        <v>64</v>
      </c>
      <c r="K70" s="8" t="s">
        <v>238</v>
      </c>
      <c r="L70" s="8" t="s">
        <v>53</v>
      </c>
      <c r="M70" s="6">
        <f t="shared" si="5"/>
        <v>1</v>
      </c>
      <c r="O70" s="14" t="str">
        <f t="shared" si="3"/>
        <v>I</v>
      </c>
    </row>
    <row r="71" ht="15.75" hidden="1" customHeight="1">
      <c r="A71" s="1" t="s">
        <v>239</v>
      </c>
      <c r="B71" s="11" t="str">
        <f t="shared" si="1"/>
        <v>I</v>
      </c>
      <c r="C71" s="12"/>
      <c r="D71" s="4" t="s">
        <v>240</v>
      </c>
      <c r="E71" s="4">
        <v>12083.0</v>
      </c>
      <c r="F71" s="6" t="s">
        <v>64</v>
      </c>
      <c r="G71" s="6" t="s">
        <v>241</v>
      </c>
      <c r="H71" s="6" t="s">
        <v>53</v>
      </c>
      <c r="J71" s="8" t="s">
        <v>64</v>
      </c>
      <c r="K71" s="8" t="s">
        <v>238</v>
      </c>
      <c r="L71" s="8" t="s">
        <v>242</v>
      </c>
      <c r="M71" s="6">
        <f t="shared" si="5"/>
        <v>1</v>
      </c>
      <c r="O71" s="14" t="str">
        <f t="shared" si="3"/>
        <v>I</v>
      </c>
    </row>
    <row r="72" ht="15.75" hidden="1" customHeight="1">
      <c r="A72" s="1" t="s">
        <v>243</v>
      </c>
      <c r="B72" s="11" t="str">
        <f t="shared" si="1"/>
        <v>I</v>
      </c>
      <c r="C72" s="12"/>
      <c r="D72" s="4" t="s">
        <v>244</v>
      </c>
      <c r="E72" s="4">
        <v>9921.0</v>
      </c>
      <c r="F72" s="6" t="s">
        <v>64</v>
      </c>
      <c r="G72" s="6" t="s">
        <v>65</v>
      </c>
      <c r="H72" s="6" t="s">
        <v>53</v>
      </c>
      <c r="J72" s="8" t="s">
        <v>64</v>
      </c>
      <c r="K72" s="8" t="s">
        <v>238</v>
      </c>
      <c r="L72" s="8" t="s">
        <v>53</v>
      </c>
      <c r="M72" s="6">
        <f t="shared" si="5"/>
        <v>1</v>
      </c>
      <c r="O72" s="14" t="str">
        <f t="shared" si="3"/>
        <v>I</v>
      </c>
    </row>
    <row r="73" ht="15.75" hidden="1" customHeight="1">
      <c r="A73" s="1" t="s">
        <v>245</v>
      </c>
      <c r="B73" s="11" t="str">
        <f t="shared" si="1"/>
        <v>I</v>
      </c>
      <c r="C73" s="12"/>
      <c r="D73" s="4" t="s">
        <v>246</v>
      </c>
      <c r="E73" s="4">
        <v>6353.0</v>
      </c>
      <c r="F73" s="6" t="s">
        <v>64</v>
      </c>
      <c r="G73" s="6" t="s">
        <v>65</v>
      </c>
      <c r="H73" s="6" t="s">
        <v>53</v>
      </c>
      <c r="J73" s="8" t="s">
        <v>64</v>
      </c>
      <c r="K73" s="8" t="s">
        <v>238</v>
      </c>
      <c r="L73" s="8" t="s">
        <v>53</v>
      </c>
      <c r="M73" s="6">
        <f t="shared" si="5"/>
        <v>1</v>
      </c>
      <c r="O73" s="14" t="str">
        <f t="shared" si="3"/>
        <v>I</v>
      </c>
    </row>
    <row r="74" ht="15.75" hidden="1" customHeight="1">
      <c r="A74" s="1" t="s">
        <v>247</v>
      </c>
      <c r="B74" s="11" t="str">
        <f t="shared" si="1"/>
        <v>I</v>
      </c>
      <c r="C74" s="12"/>
      <c r="D74" s="4" t="s">
        <v>248</v>
      </c>
      <c r="E74" s="4">
        <v>22670.0</v>
      </c>
      <c r="F74" s="6" t="s">
        <v>64</v>
      </c>
      <c r="G74" s="6" t="s">
        <v>65</v>
      </c>
      <c r="H74" s="6" t="s">
        <v>53</v>
      </c>
      <c r="J74" s="8" t="s">
        <v>64</v>
      </c>
      <c r="K74" s="8" t="s">
        <v>238</v>
      </c>
      <c r="L74" s="8" t="s">
        <v>119</v>
      </c>
      <c r="M74" s="6">
        <f t="shared" si="5"/>
        <v>1</v>
      </c>
      <c r="O74" s="14" t="str">
        <f t="shared" si="3"/>
        <v>I</v>
      </c>
    </row>
    <row r="75" ht="15.75" hidden="1" customHeight="1">
      <c r="A75" s="1" t="s">
        <v>249</v>
      </c>
      <c r="B75" s="11" t="str">
        <f t="shared" si="1"/>
        <v>I</v>
      </c>
      <c r="C75" s="12"/>
      <c r="D75" s="4" t="s">
        <v>250</v>
      </c>
      <c r="E75" s="4">
        <v>12947.0</v>
      </c>
      <c r="F75" s="6" t="s">
        <v>64</v>
      </c>
      <c r="G75" s="6" t="s">
        <v>65</v>
      </c>
      <c r="H75" s="6" t="s">
        <v>53</v>
      </c>
      <c r="J75" s="8" t="s">
        <v>64</v>
      </c>
      <c r="K75" s="8" t="s">
        <v>238</v>
      </c>
      <c r="L75" s="8" t="s">
        <v>53</v>
      </c>
      <c r="M75" s="6">
        <f t="shared" si="5"/>
        <v>1</v>
      </c>
      <c r="O75" s="14" t="str">
        <f t="shared" si="3"/>
        <v>I</v>
      </c>
    </row>
    <row r="76" ht="15.75" hidden="1" customHeight="1">
      <c r="A76" s="1" t="s">
        <v>251</v>
      </c>
      <c r="B76" s="11" t="str">
        <f t="shared" si="1"/>
        <v>I</v>
      </c>
      <c r="C76" s="12"/>
      <c r="D76" s="4" t="s">
        <v>252</v>
      </c>
      <c r="E76" s="4">
        <v>13403.0</v>
      </c>
      <c r="F76" s="6" t="s">
        <v>64</v>
      </c>
      <c r="G76" s="6" t="s">
        <v>65</v>
      </c>
      <c r="H76" s="6" t="s">
        <v>53</v>
      </c>
      <c r="J76" s="8" t="s">
        <v>64</v>
      </c>
      <c r="K76" s="8" t="s">
        <v>238</v>
      </c>
      <c r="L76" s="8" t="s">
        <v>53</v>
      </c>
      <c r="M76" s="6">
        <f t="shared" si="5"/>
        <v>1</v>
      </c>
      <c r="O76" s="14" t="str">
        <f t="shared" si="3"/>
        <v>I</v>
      </c>
    </row>
    <row r="77" ht="15.75" hidden="1" customHeight="1">
      <c r="A77" s="1" t="s">
        <v>253</v>
      </c>
      <c r="B77" s="11" t="str">
        <f t="shared" si="1"/>
        <v>I</v>
      </c>
      <c r="C77" s="12"/>
      <c r="D77" s="4" t="s">
        <v>254</v>
      </c>
      <c r="E77" s="4">
        <v>9717.0</v>
      </c>
      <c r="F77" s="6" t="s">
        <v>64</v>
      </c>
      <c r="G77" s="6" t="s">
        <v>65</v>
      </c>
      <c r="H77" s="6" t="s">
        <v>53</v>
      </c>
      <c r="J77" s="8" t="s">
        <v>64</v>
      </c>
      <c r="K77" s="8" t="s">
        <v>238</v>
      </c>
      <c r="L77" s="8" t="s">
        <v>53</v>
      </c>
      <c r="M77" s="6">
        <f t="shared" si="5"/>
        <v>1</v>
      </c>
      <c r="O77" s="14" t="str">
        <f t="shared" si="3"/>
        <v>I</v>
      </c>
    </row>
    <row r="78" ht="15.75" hidden="1" customHeight="1">
      <c r="A78" s="1" t="s">
        <v>255</v>
      </c>
      <c r="B78" s="11" t="str">
        <f t="shared" si="1"/>
        <v>I</v>
      </c>
      <c r="C78" s="12"/>
      <c r="D78" s="4" t="s">
        <v>256</v>
      </c>
      <c r="E78" s="4">
        <v>19312.0</v>
      </c>
      <c r="F78" s="6" t="s">
        <v>64</v>
      </c>
      <c r="G78" s="6" t="s">
        <v>257</v>
      </c>
      <c r="H78" s="6" t="s">
        <v>53</v>
      </c>
      <c r="J78" s="8" t="s">
        <v>64</v>
      </c>
      <c r="K78" s="8" t="s">
        <v>238</v>
      </c>
      <c r="L78" s="8" t="s">
        <v>53</v>
      </c>
      <c r="M78" s="6">
        <f t="shared" si="5"/>
        <v>1</v>
      </c>
      <c r="O78" s="14" t="str">
        <f t="shared" si="3"/>
        <v>I</v>
      </c>
    </row>
    <row r="79" ht="15.75" hidden="1" customHeight="1">
      <c r="A79" s="1" t="s">
        <v>258</v>
      </c>
      <c r="B79" s="11" t="str">
        <f t="shared" si="1"/>
        <v>I</v>
      </c>
      <c r="C79" s="12"/>
      <c r="D79" s="4" t="s">
        <v>259</v>
      </c>
      <c r="E79" s="4">
        <v>54455.0</v>
      </c>
      <c r="F79" s="6" t="s">
        <v>64</v>
      </c>
      <c r="G79" s="6" t="s">
        <v>257</v>
      </c>
      <c r="H79" s="6" t="s">
        <v>53</v>
      </c>
      <c r="J79" s="8" t="s">
        <v>64</v>
      </c>
      <c r="K79" s="8" t="s">
        <v>238</v>
      </c>
      <c r="L79" s="8" t="s">
        <v>53</v>
      </c>
      <c r="M79" s="6">
        <f t="shared" si="5"/>
        <v>1</v>
      </c>
      <c r="O79" s="14" t="str">
        <f t="shared" si="3"/>
        <v>I</v>
      </c>
    </row>
    <row r="80" ht="15.75" hidden="1" customHeight="1">
      <c r="A80" s="1" t="s">
        <v>260</v>
      </c>
      <c r="B80" s="11" t="str">
        <f t="shared" si="1"/>
        <v>I</v>
      </c>
      <c r="C80" s="12"/>
      <c r="D80" s="4" t="s">
        <v>261</v>
      </c>
      <c r="E80" s="4">
        <v>42260.0</v>
      </c>
      <c r="F80" s="6" t="s">
        <v>64</v>
      </c>
      <c r="G80" s="6" t="s">
        <v>65</v>
      </c>
      <c r="H80" s="6" t="s">
        <v>53</v>
      </c>
      <c r="I80" s="6" t="s">
        <v>262</v>
      </c>
      <c r="J80" s="8" t="s">
        <v>64</v>
      </c>
      <c r="K80" s="8" t="s">
        <v>238</v>
      </c>
      <c r="L80" s="8" t="s">
        <v>119</v>
      </c>
      <c r="M80" s="6">
        <f t="shared" si="5"/>
        <v>1</v>
      </c>
      <c r="O80" s="14" t="str">
        <f t="shared" si="3"/>
        <v>I</v>
      </c>
    </row>
    <row r="81" ht="15.75" hidden="1" customHeight="1">
      <c r="A81" s="1" t="s">
        <v>263</v>
      </c>
      <c r="B81" s="11" t="str">
        <f t="shared" si="1"/>
        <v>I</v>
      </c>
      <c r="C81" s="12"/>
      <c r="D81" s="4" t="s">
        <v>264</v>
      </c>
      <c r="E81" s="4">
        <v>19424.0</v>
      </c>
      <c r="F81" s="6" t="s">
        <v>64</v>
      </c>
      <c r="G81" s="6" t="s">
        <v>65</v>
      </c>
      <c r="H81" s="6" t="s">
        <v>53</v>
      </c>
      <c r="I81" s="6" t="s">
        <v>265</v>
      </c>
      <c r="J81" s="8" t="s">
        <v>64</v>
      </c>
      <c r="K81" s="8" t="s">
        <v>238</v>
      </c>
      <c r="L81" s="8" t="s">
        <v>119</v>
      </c>
      <c r="M81" s="6">
        <f t="shared" si="5"/>
        <v>1</v>
      </c>
      <c r="O81" s="14" t="str">
        <f t="shared" si="3"/>
        <v>I</v>
      </c>
    </row>
    <row r="82" ht="15.75" hidden="1" customHeight="1">
      <c r="A82" s="1" t="s">
        <v>266</v>
      </c>
      <c r="B82" s="11" t="str">
        <f t="shared" si="1"/>
        <v>I</v>
      </c>
      <c r="C82" s="12"/>
      <c r="D82" s="4" t="s">
        <v>267</v>
      </c>
      <c r="E82" s="4">
        <v>10529.0</v>
      </c>
      <c r="F82" s="6" t="s">
        <v>64</v>
      </c>
      <c r="G82" s="6" t="s">
        <v>65</v>
      </c>
      <c r="H82" s="6" t="s">
        <v>53</v>
      </c>
      <c r="J82" s="8" t="s">
        <v>64</v>
      </c>
      <c r="K82" s="8" t="s">
        <v>238</v>
      </c>
      <c r="L82" s="8" t="s">
        <v>119</v>
      </c>
      <c r="M82" s="6">
        <f t="shared" si="5"/>
        <v>1</v>
      </c>
      <c r="O82" s="14" t="str">
        <f t="shared" si="3"/>
        <v>I</v>
      </c>
    </row>
    <row r="83" ht="15.75" hidden="1" customHeight="1">
      <c r="A83" s="1" t="s">
        <v>268</v>
      </c>
      <c r="B83" s="11" t="str">
        <f t="shared" si="1"/>
        <v>I</v>
      </c>
      <c r="C83" s="12"/>
      <c r="D83" s="4" t="s">
        <v>269</v>
      </c>
      <c r="E83" s="4">
        <v>50298.0</v>
      </c>
      <c r="F83" s="6" t="s">
        <v>64</v>
      </c>
      <c r="G83" s="6" t="s">
        <v>65</v>
      </c>
      <c r="H83" s="6" t="s">
        <v>53</v>
      </c>
      <c r="J83" s="8" t="s">
        <v>64</v>
      </c>
      <c r="K83" s="8" t="s">
        <v>238</v>
      </c>
      <c r="L83" s="8" t="s">
        <v>53</v>
      </c>
      <c r="M83" s="6">
        <f t="shared" si="5"/>
        <v>1</v>
      </c>
      <c r="O83" s="14" t="str">
        <f t="shared" si="3"/>
        <v>I</v>
      </c>
    </row>
    <row r="84" ht="15.75" hidden="1" customHeight="1">
      <c r="A84" s="1" t="s">
        <v>270</v>
      </c>
      <c r="B84" s="11" t="str">
        <f t="shared" si="1"/>
        <v>S</v>
      </c>
      <c r="C84" s="12"/>
      <c r="D84" s="4" t="s">
        <v>271</v>
      </c>
      <c r="E84" s="4">
        <v>14242.0</v>
      </c>
      <c r="F84" s="6" t="s">
        <v>41</v>
      </c>
      <c r="G84" s="6" t="s">
        <v>272</v>
      </c>
      <c r="H84" s="6" t="s">
        <v>31</v>
      </c>
      <c r="J84" s="8" t="s">
        <v>41</v>
      </c>
      <c r="K84" s="8" t="s">
        <v>273</v>
      </c>
      <c r="L84" s="8" t="s">
        <v>274</v>
      </c>
      <c r="M84" s="6">
        <f t="shared" si="5"/>
        <v>1</v>
      </c>
      <c r="O84" s="14" t="str">
        <f t="shared" si="3"/>
        <v>S</v>
      </c>
    </row>
    <row r="85" ht="15.75" hidden="1" customHeight="1">
      <c r="A85" s="1" t="s">
        <v>275</v>
      </c>
      <c r="B85" s="11" t="str">
        <f t="shared" si="1"/>
        <v>S</v>
      </c>
      <c r="C85" s="12"/>
      <c r="D85" s="4" t="s">
        <v>276</v>
      </c>
      <c r="E85" s="4">
        <v>22534.0</v>
      </c>
      <c r="F85" s="6" t="s">
        <v>41</v>
      </c>
      <c r="G85" s="6" t="s">
        <v>159</v>
      </c>
      <c r="H85" s="6" t="s">
        <v>31</v>
      </c>
      <c r="J85" s="8" t="s">
        <v>41</v>
      </c>
      <c r="K85" s="8" t="s">
        <v>273</v>
      </c>
      <c r="L85" s="8" t="s">
        <v>119</v>
      </c>
      <c r="M85" s="6">
        <f t="shared" si="5"/>
        <v>1</v>
      </c>
      <c r="O85" s="14" t="str">
        <f t="shared" si="3"/>
        <v>S</v>
      </c>
    </row>
    <row r="86" ht="15.75" hidden="1" customHeight="1">
      <c r="A86" s="1" t="s">
        <v>277</v>
      </c>
      <c r="B86" s="11" t="str">
        <f t="shared" si="1"/>
        <v>M</v>
      </c>
      <c r="C86" s="12"/>
      <c r="D86" s="4" t="s">
        <v>278</v>
      </c>
      <c r="E86" s="4">
        <v>17514.0</v>
      </c>
      <c r="F86" s="15" t="s">
        <v>51</v>
      </c>
      <c r="G86" s="6" t="s">
        <v>97</v>
      </c>
      <c r="H86" s="6" t="s">
        <v>98</v>
      </c>
      <c r="J86" s="7" t="s">
        <v>41</v>
      </c>
      <c r="K86" s="8" t="s">
        <v>279</v>
      </c>
      <c r="L86" s="8" t="s">
        <v>274</v>
      </c>
      <c r="M86" s="6">
        <f t="shared" si="5"/>
        <v>0</v>
      </c>
      <c r="N86" s="9" t="s">
        <v>100</v>
      </c>
      <c r="O86" s="14" t="str">
        <f t="shared" si="3"/>
        <v>M</v>
      </c>
    </row>
    <row r="87" ht="15.75" customHeight="1">
      <c r="A87" s="1" t="s">
        <v>280</v>
      </c>
      <c r="B87" s="11" t="str">
        <f t="shared" si="1"/>
        <v>G</v>
      </c>
      <c r="C87" s="12"/>
      <c r="D87" s="4" t="s">
        <v>281</v>
      </c>
      <c r="E87" s="4">
        <v>19890.0</v>
      </c>
      <c r="F87" s="6" t="s">
        <v>51</v>
      </c>
      <c r="G87" s="6" t="s">
        <v>105</v>
      </c>
      <c r="H87" s="6" t="s">
        <v>150</v>
      </c>
      <c r="I87" s="8" t="s">
        <v>282</v>
      </c>
      <c r="J87" s="8" t="s">
        <v>51</v>
      </c>
      <c r="K87" s="8" t="s">
        <v>65</v>
      </c>
      <c r="L87" s="8" t="s">
        <v>155</v>
      </c>
      <c r="M87" s="6">
        <f t="shared" si="5"/>
        <v>1</v>
      </c>
      <c r="O87" s="14" t="str">
        <f t="shared" si="3"/>
        <v>G</v>
      </c>
    </row>
    <row r="88" ht="15.75" hidden="1" customHeight="1">
      <c r="A88" s="1" t="s">
        <v>283</v>
      </c>
      <c r="B88" s="11" t="str">
        <f t="shared" si="1"/>
        <v>S</v>
      </c>
      <c r="C88" s="12"/>
      <c r="D88" s="4" t="s">
        <v>284</v>
      </c>
      <c r="E88" s="4">
        <v>32914.0</v>
      </c>
      <c r="F88" s="15" t="s">
        <v>51</v>
      </c>
      <c r="G88" s="6" t="s">
        <v>105</v>
      </c>
      <c r="H88" s="6" t="s">
        <v>31</v>
      </c>
      <c r="J88" s="7" t="s">
        <v>41</v>
      </c>
      <c r="K88" s="8" t="s">
        <v>285</v>
      </c>
      <c r="L88" s="8" t="s">
        <v>53</v>
      </c>
      <c r="M88" s="6">
        <f t="shared" si="5"/>
        <v>0</v>
      </c>
      <c r="N88" s="9" t="s">
        <v>41</v>
      </c>
      <c r="O88" s="14" t="str">
        <f t="shared" si="3"/>
        <v>S</v>
      </c>
    </row>
    <row r="89" ht="15.75" hidden="1" customHeight="1">
      <c r="A89" s="1" t="s">
        <v>286</v>
      </c>
      <c r="B89" s="11" t="str">
        <f t="shared" si="1"/>
        <v>M</v>
      </c>
      <c r="C89" s="12"/>
      <c r="D89" s="4" t="s">
        <v>287</v>
      </c>
      <c r="E89" s="4">
        <v>15446.0</v>
      </c>
      <c r="F89" s="15" t="s">
        <v>51</v>
      </c>
      <c r="G89" s="6" t="s">
        <v>288</v>
      </c>
      <c r="J89" s="7" t="s">
        <v>41</v>
      </c>
      <c r="L89" s="8" t="s">
        <v>289</v>
      </c>
      <c r="M89" s="6">
        <f t="shared" si="5"/>
        <v>0</v>
      </c>
      <c r="N89" s="9" t="s">
        <v>100</v>
      </c>
      <c r="O89" s="14" t="str">
        <f t="shared" si="3"/>
        <v>M</v>
      </c>
    </row>
    <row r="90" ht="15.75" hidden="1" customHeight="1">
      <c r="A90" s="1" t="s">
        <v>290</v>
      </c>
      <c r="B90" s="11" t="str">
        <f t="shared" si="1"/>
        <v>I</v>
      </c>
      <c r="C90" s="12"/>
      <c r="D90" s="4" t="s">
        <v>291</v>
      </c>
      <c r="E90" s="4">
        <v>22471.0</v>
      </c>
      <c r="F90" s="6" t="s">
        <v>64</v>
      </c>
      <c r="G90" s="6" t="s">
        <v>65</v>
      </c>
      <c r="H90" s="6" t="s">
        <v>53</v>
      </c>
      <c r="J90" s="8" t="s">
        <v>64</v>
      </c>
      <c r="K90" s="8" t="s">
        <v>238</v>
      </c>
      <c r="L90" s="8" t="s">
        <v>289</v>
      </c>
      <c r="M90" s="6">
        <f t="shared" si="5"/>
        <v>1</v>
      </c>
      <c r="O90" s="14" t="str">
        <f t="shared" si="3"/>
        <v>I</v>
      </c>
    </row>
    <row r="91" ht="15.75" hidden="1" customHeight="1">
      <c r="A91" s="1" t="s">
        <v>292</v>
      </c>
      <c r="B91" s="11" t="str">
        <f t="shared" si="1"/>
        <v>I</v>
      </c>
      <c r="C91" s="12"/>
      <c r="D91" s="4" t="s">
        <v>293</v>
      </c>
      <c r="E91" s="4">
        <v>27.0</v>
      </c>
      <c r="F91" s="6" t="s">
        <v>64</v>
      </c>
      <c r="G91" s="6" t="s">
        <v>65</v>
      </c>
      <c r="H91" s="6" t="s">
        <v>53</v>
      </c>
      <c r="J91" s="8" t="s">
        <v>64</v>
      </c>
      <c r="K91" s="8" t="s">
        <v>238</v>
      </c>
      <c r="L91" s="8" t="s">
        <v>289</v>
      </c>
      <c r="M91" s="6">
        <f t="shared" si="5"/>
        <v>1</v>
      </c>
      <c r="O91" s="14" t="str">
        <f t="shared" si="3"/>
        <v>I</v>
      </c>
    </row>
    <row r="92" ht="15.75" customHeight="1">
      <c r="A92" s="1" t="s">
        <v>294</v>
      </c>
      <c r="B92" s="11" t="str">
        <f t="shared" si="1"/>
        <v>G</v>
      </c>
      <c r="C92" s="12"/>
      <c r="D92" s="4" t="s">
        <v>295</v>
      </c>
      <c r="E92" s="4">
        <v>110623.0</v>
      </c>
      <c r="F92" s="6" t="s">
        <v>51</v>
      </c>
      <c r="G92" s="6" t="s">
        <v>74</v>
      </c>
      <c r="H92" s="6" t="s">
        <v>53</v>
      </c>
      <c r="J92" s="8" t="s">
        <v>51</v>
      </c>
      <c r="K92" s="8" t="s">
        <v>74</v>
      </c>
      <c r="L92" s="8" t="s">
        <v>289</v>
      </c>
      <c r="M92" s="6">
        <f t="shared" si="5"/>
        <v>1</v>
      </c>
      <c r="O92" s="14" t="str">
        <f t="shared" si="3"/>
        <v>G</v>
      </c>
    </row>
    <row r="93" ht="15.75" customHeight="1">
      <c r="A93" s="1" t="s">
        <v>296</v>
      </c>
      <c r="B93" s="11" t="str">
        <f t="shared" si="1"/>
        <v>G</v>
      </c>
      <c r="C93" s="12"/>
      <c r="D93" s="4" t="s">
        <v>297</v>
      </c>
      <c r="E93" s="4">
        <v>19895.0</v>
      </c>
      <c r="F93" s="8" t="s">
        <v>51</v>
      </c>
      <c r="G93" s="8" t="s">
        <v>97</v>
      </c>
      <c r="H93" s="8" t="s">
        <v>298</v>
      </c>
      <c r="J93" s="8" t="s">
        <v>51</v>
      </c>
      <c r="K93" s="8" t="s">
        <v>299</v>
      </c>
      <c r="L93" s="8" t="s">
        <v>28</v>
      </c>
      <c r="M93" s="6">
        <f t="shared" si="5"/>
        <v>1</v>
      </c>
      <c r="O93" s="14" t="str">
        <f t="shared" si="3"/>
        <v>G</v>
      </c>
    </row>
    <row r="94" ht="15.75" hidden="1" customHeight="1">
      <c r="A94" s="1" t="s">
        <v>300</v>
      </c>
      <c r="B94" s="11" t="str">
        <f t="shared" si="1"/>
        <v>M</v>
      </c>
      <c r="C94" s="12"/>
      <c r="D94" s="4" t="s">
        <v>301</v>
      </c>
      <c r="E94" s="4">
        <v>35091.0</v>
      </c>
      <c r="F94" s="15" t="s">
        <v>15</v>
      </c>
      <c r="G94" s="6" t="s">
        <v>142</v>
      </c>
      <c r="H94" s="6" t="s">
        <v>17</v>
      </c>
      <c r="J94" s="7" t="s">
        <v>41</v>
      </c>
      <c r="L94" s="8" t="s">
        <v>28</v>
      </c>
      <c r="M94" s="6">
        <f t="shared" si="5"/>
        <v>0</v>
      </c>
      <c r="N94" s="9" t="s">
        <v>100</v>
      </c>
      <c r="O94" s="14" t="str">
        <f t="shared" si="3"/>
        <v>M</v>
      </c>
    </row>
    <row r="95" ht="15.75" hidden="1" customHeight="1">
      <c r="A95" s="1" t="s">
        <v>302</v>
      </c>
      <c r="B95" s="11" t="str">
        <f t="shared" si="1"/>
        <v>M</v>
      </c>
      <c r="C95" s="12"/>
      <c r="D95" s="4" t="s">
        <v>303</v>
      </c>
      <c r="E95" s="4">
        <v>11193.0</v>
      </c>
      <c r="F95" s="5" t="s">
        <v>51</v>
      </c>
      <c r="G95" s="8" t="s">
        <v>97</v>
      </c>
      <c r="H95" s="8" t="s">
        <v>298</v>
      </c>
      <c r="J95" s="7" t="s">
        <v>41</v>
      </c>
      <c r="K95" s="8" t="s">
        <v>304</v>
      </c>
      <c r="L95" s="8" t="s">
        <v>119</v>
      </c>
      <c r="M95" s="6">
        <f t="shared" si="5"/>
        <v>0</v>
      </c>
      <c r="N95" s="9" t="s">
        <v>100</v>
      </c>
      <c r="O95" s="14" t="str">
        <f t="shared" si="3"/>
        <v>M</v>
      </c>
    </row>
    <row r="96" ht="15.75" hidden="1" customHeight="1">
      <c r="A96" s="1" t="s">
        <v>305</v>
      </c>
      <c r="B96" s="11" t="str">
        <f t="shared" si="1"/>
        <v>E</v>
      </c>
      <c r="C96" s="12"/>
      <c r="D96" s="4" t="s">
        <v>306</v>
      </c>
      <c r="E96" s="4">
        <v>384.0</v>
      </c>
      <c r="F96" s="15" t="s">
        <v>15</v>
      </c>
      <c r="G96" s="6" t="s">
        <v>142</v>
      </c>
      <c r="H96" s="6" t="s">
        <v>31</v>
      </c>
      <c r="J96" s="7" t="s">
        <v>41</v>
      </c>
      <c r="K96" s="8" t="s">
        <v>307</v>
      </c>
      <c r="L96" s="8" t="s">
        <v>308</v>
      </c>
      <c r="M96" s="6">
        <f t="shared" si="5"/>
        <v>0</v>
      </c>
      <c r="N96" s="9" t="s">
        <v>15</v>
      </c>
      <c r="O96" s="14" t="str">
        <f t="shared" si="3"/>
        <v>E</v>
      </c>
    </row>
    <row r="97" ht="15.75" hidden="1" customHeight="1">
      <c r="A97" s="1" t="s">
        <v>309</v>
      </c>
      <c r="B97" s="11" t="str">
        <f t="shared" si="1"/>
        <v>E</v>
      </c>
      <c r="C97" s="12"/>
      <c r="D97" s="4" t="s">
        <v>310</v>
      </c>
      <c r="E97" s="4">
        <v>21468.0</v>
      </c>
      <c r="F97" s="15" t="s">
        <v>15</v>
      </c>
      <c r="G97" s="6" t="s">
        <v>142</v>
      </c>
      <c r="H97" s="6" t="s">
        <v>31</v>
      </c>
      <c r="J97" s="7" t="s">
        <v>41</v>
      </c>
      <c r="K97" s="8" t="s">
        <v>307</v>
      </c>
      <c r="L97" s="8" t="s">
        <v>308</v>
      </c>
      <c r="M97" s="6">
        <f t="shared" si="5"/>
        <v>0</v>
      </c>
      <c r="N97" s="9" t="s">
        <v>15</v>
      </c>
      <c r="O97" s="14" t="str">
        <f t="shared" si="3"/>
        <v>E</v>
      </c>
    </row>
    <row r="98" ht="15.75" hidden="1" customHeight="1">
      <c r="A98" s="1" t="s">
        <v>311</v>
      </c>
      <c r="B98" s="11" t="str">
        <f t="shared" si="1"/>
        <v>I</v>
      </c>
      <c r="C98" s="12"/>
      <c r="D98" s="4" t="s">
        <v>312</v>
      </c>
      <c r="E98" s="4">
        <v>3.0</v>
      </c>
      <c r="F98" s="6" t="s">
        <v>64</v>
      </c>
      <c r="G98" s="6" t="s">
        <v>65</v>
      </c>
      <c r="H98" s="6" t="s">
        <v>53</v>
      </c>
      <c r="J98" s="8" t="s">
        <v>64</v>
      </c>
      <c r="K98" s="8" t="s">
        <v>65</v>
      </c>
      <c r="L98" s="8" t="s">
        <v>155</v>
      </c>
      <c r="M98" s="6">
        <f t="shared" si="5"/>
        <v>1</v>
      </c>
      <c r="O98" s="14" t="str">
        <f t="shared" si="3"/>
        <v>I</v>
      </c>
    </row>
    <row r="99" ht="15.75" customHeight="1">
      <c r="A99" s="1" t="s">
        <v>313</v>
      </c>
      <c r="B99" s="11" t="str">
        <f t="shared" si="1"/>
        <v>G</v>
      </c>
      <c r="C99" s="12"/>
      <c r="D99" s="4" t="s">
        <v>314</v>
      </c>
      <c r="E99" s="4">
        <v>62886.0</v>
      </c>
      <c r="F99" s="25" t="s">
        <v>51</v>
      </c>
      <c r="G99" s="25" t="s">
        <v>97</v>
      </c>
      <c r="H99" s="6" t="s">
        <v>180</v>
      </c>
      <c r="J99" s="8" t="s">
        <v>51</v>
      </c>
      <c r="K99" s="8" t="s">
        <v>288</v>
      </c>
      <c r="L99" s="8" t="s">
        <v>119</v>
      </c>
      <c r="M99" s="6">
        <f t="shared" si="5"/>
        <v>1</v>
      </c>
      <c r="O99" s="14" t="str">
        <f t="shared" si="3"/>
        <v>G</v>
      </c>
    </row>
    <row r="100" ht="15.75" hidden="1" customHeight="1">
      <c r="A100" s="1" t="s">
        <v>315</v>
      </c>
      <c r="B100" s="11" t="str">
        <f t="shared" si="1"/>
        <v>I</v>
      </c>
      <c r="C100" s="12"/>
      <c r="D100" s="4" t="s">
        <v>316</v>
      </c>
      <c r="E100" s="4">
        <v>11132.0</v>
      </c>
      <c r="F100" s="6" t="s">
        <v>64</v>
      </c>
      <c r="G100" s="6" t="s">
        <v>65</v>
      </c>
      <c r="H100" s="6" t="s">
        <v>150</v>
      </c>
      <c r="J100" s="8" t="s">
        <v>64</v>
      </c>
      <c r="K100" s="8" t="s">
        <v>317</v>
      </c>
      <c r="L100" s="8" t="s">
        <v>28</v>
      </c>
      <c r="M100" s="6">
        <f t="shared" si="5"/>
        <v>1</v>
      </c>
      <c r="O100" s="14" t="str">
        <f t="shared" si="3"/>
        <v>I</v>
      </c>
    </row>
    <row r="101" ht="15.75" hidden="1" customHeight="1">
      <c r="A101" s="1" t="s">
        <v>318</v>
      </c>
      <c r="B101" s="11" t="str">
        <f t="shared" si="1"/>
        <v>S</v>
      </c>
      <c r="C101" s="12"/>
      <c r="D101" s="4" t="s">
        <v>319</v>
      </c>
      <c r="E101" s="4">
        <v>30725.0</v>
      </c>
      <c r="F101" s="6" t="s">
        <v>41</v>
      </c>
      <c r="G101" s="6" t="s">
        <v>159</v>
      </c>
      <c r="H101" s="6" t="s">
        <v>180</v>
      </c>
      <c r="J101" s="8" t="s">
        <v>41</v>
      </c>
      <c r="K101" s="8" t="s">
        <v>320</v>
      </c>
      <c r="L101" s="8" t="s">
        <v>119</v>
      </c>
      <c r="M101" s="6">
        <f t="shared" si="5"/>
        <v>1</v>
      </c>
      <c r="O101" s="14" t="str">
        <f t="shared" si="3"/>
        <v>S</v>
      </c>
    </row>
    <row r="102" ht="15.75" hidden="1" customHeight="1">
      <c r="A102" s="1" t="s">
        <v>321</v>
      </c>
      <c r="B102" s="11" t="str">
        <f t="shared" si="1"/>
        <v>S</v>
      </c>
      <c r="C102" s="12"/>
      <c r="D102" s="4" t="s">
        <v>322</v>
      </c>
      <c r="E102" s="4">
        <v>10286.0</v>
      </c>
      <c r="F102" s="6" t="s">
        <v>41</v>
      </c>
      <c r="G102" s="6" t="s">
        <v>159</v>
      </c>
      <c r="H102" s="6" t="s">
        <v>180</v>
      </c>
      <c r="J102" s="8" t="s">
        <v>41</v>
      </c>
      <c r="K102" s="8" t="s">
        <v>320</v>
      </c>
      <c r="L102" s="8" t="s">
        <v>119</v>
      </c>
      <c r="M102" s="6">
        <f t="shared" si="5"/>
        <v>1</v>
      </c>
      <c r="O102" s="14" t="str">
        <f t="shared" si="3"/>
        <v>S</v>
      </c>
    </row>
    <row r="103" ht="15.75" hidden="1" customHeight="1">
      <c r="A103" s="1" t="s">
        <v>323</v>
      </c>
      <c r="B103" s="11" t="str">
        <f t="shared" si="1"/>
        <v>S</v>
      </c>
      <c r="C103" s="12"/>
      <c r="D103" s="4" t="s">
        <v>324</v>
      </c>
      <c r="E103" s="4">
        <v>12815.0</v>
      </c>
      <c r="F103" s="6" t="s">
        <v>41</v>
      </c>
      <c r="G103" s="6" t="s">
        <v>159</v>
      </c>
      <c r="H103" s="6" t="s">
        <v>180</v>
      </c>
      <c r="J103" s="8" t="s">
        <v>41</v>
      </c>
      <c r="K103" s="8" t="s">
        <v>320</v>
      </c>
      <c r="L103" s="8" t="s">
        <v>119</v>
      </c>
      <c r="M103" s="6">
        <f t="shared" si="5"/>
        <v>1</v>
      </c>
      <c r="O103" s="14" t="str">
        <f t="shared" si="3"/>
        <v>S</v>
      </c>
    </row>
    <row r="104" ht="15.75" hidden="1" customHeight="1">
      <c r="A104" s="1" t="s">
        <v>325</v>
      </c>
      <c r="B104" s="11" t="str">
        <f t="shared" si="1"/>
        <v>S</v>
      </c>
      <c r="C104" s="12"/>
      <c r="D104" s="4" t="s">
        <v>326</v>
      </c>
      <c r="E104" s="4">
        <v>24497.0</v>
      </c>
      <c r="F104" s="6" t="s">
        <v>41</v>
      </c>
      <c r="G104" s="6" t="s">
        <v>159</v>
      </c>
      <c r="H104" s="6" t="s">
        <v>180</v>
      </c>
      <c r="J104" s="8" t="s">
        <v>41</v>
      </c>
      <c r="K104" s="8" t="s">
        <v>327</v>
      </c>
      <c r="L104" s="8" t="s">
        <v>328</v>
      </c>
      <c r="M104" s="6">
        <f t="shared" si="5"/>
        <v>1</v>
      </c>
      <c r="O104" s="14" t="str">
        <f t="shared" si="3"/>
        <v>S</v>
      </c>
    </row>
    <row r="105" ht="15.75" hidden="1" customHeight="1">
      <c r="A105" s="1" t="s">
        <v>329</v>
      </c>
      <c r="B105" s="11" t="str">
        <f t="shared" si="1"/>
        <v>S</v>
      </c>
      <c r="C105" s="12"/>
      <c r="D105" s="4" t="s">
        <v>330</v>
      </c>
      <c r="E105" s="4">
        <v>31312.0</v>
      </c>
      <c r="F105" s="6" t="s">
        <v>41</v>
      </c>
      <c r="G105" s="6" t="s">
        <v>159</v>
      </c>
      <c r="H105" s="6" t="s">
        <v>180</v>
      </c>
      <c r="J105" s="8" t="s">
        <v>41</v>
      </c>
      <c r="K105" s="8" t="s">
        <v>331</v>
      </c>
      <c r="L105" s="8" t="s">
        <v>19</v>
      </c>
      <c r="M105" s="6">
        <f t="shared" si="5"/>
        <v>1</v>
      </c>
      <c r="O105" s="14" t="str">
        <f t="shared" si="3"/>
        <v>S</v>
      </c>
    </row>
    <row r="106" ht="15.75" hidden="1" customHeight="1">
      <c r="A106" s="1" t="s">
        <v>332</v>
      </c>
      <c r="B106" s="11" t="str">
        <f t="shared" si="1"/>
        <v>M</v>
      </c>
      <c r="C106" s="12"/>
      <c r="D106" s="4" t="s">
        <v>333</v>
      </c>
      <c r="E106" s="4">
        <v>11024.0</v>
      </c>
      <c r="F106" s="15" t="s">
        <v>15</v>
      </c>
      <c r="H106" s="6" t="s">
        <v>17</v>
      </c>
      <c r="J106" s="7" t="s">
        <v>41</v>
      </c>
      <c r="K106" s="8" t="s">
        <v>334</v>
      </c>
      <c r="L106" s="8" t="s">
        <v>53</v>
      </c>
      <c r="M106" s="6">
        <f t="shared" si="5"/>
        <v>0</v>
      </c>
      <c r="N106" s="9" t="s">
        <v>100</v>
      </c>
      <c r="O106" s="14" t="str">
        <f t="shared" si="3"/>
        <v>M</v>
      </c>
    </row>
    <row r="107" ht="15.75" customHeight="1">
      <c r="A107" s="1" t="s">
        <v>335</v>
      </c>
      <c r="B107" s="11" t="str">
        <f t="shared" si="1"/>
        <v>G</v>
      </c>
      <c r="C107" s="12"/>
      <c r="D107" s="4" t="s">
        <v>336</v>
      </c>
      <c r="E107" s="4">
        <v>6782.0</v>
      </c>
      <c r="F107" s="6" t="s">
        <v>51</v>
      </c>
      <c r="G107" s="6" t="s">
        <v>337</v>
      </c>
      <c r="H107" s="6" t="s">
        <v>53</v>
      </c>
      <c r="J107" s="8" t="s">
        <v>51</v>
      </c>
      <c r="K107" s="8" t="s">
        <v>338</v>
      </c>
      <c r="L107" s="8" t="s">
        <v>53</v>
      </c>
      <c r="M107" s="6">
        <f t="shared" si="5"/>
        <v>1</v>
      </c>
      <c r="O107" s="14" t="str">
        <f t="shared" si="3"/>
        <v>G</v>
      </c>
    </row>
    <row r="108" ht="15.75" hidden="1" customHeight="1">
      <c r="A108" s="1" t="s">
        <v>339</v>
      </c>
      <c r="B108" s="11" t="str">
        <f t="shared" si="1"/>
        <v>I</v>
      </c>
      <c r="C108" s="12"/>
      <c r="D108" s="4" t="s">
        <v>340</v>
      </c>
      <c r="E108" s="4">
        <v>34726.0</v>
      </c>
      <c r="F108" s="6" t="s">
        <v>64</v>
      </c>
      <c r="H108" s="8" t="s">
        <v>180</v>
      </c>
      <c r="J108" s="8" t="s">
        <v>64</v>
      </c>
      <c r="K108" s="8" t="s">
        <v>341</v>
      </c>
      <c r="L108" s="8" t="s">
        <v>342</v>
      </c>
      <c r="M108" s="6">
        <f t="shared" si="5"/>
        <v>1</v>
      </c>
      <c r="O108" s="14" t="str">
        <f t="shared" si="3"/>
        <v>I</v>
      </c>
    </row>
    <row r="109" ht="15.75" customHeight="1">
      <c r="A109" s="1" t="s">
        <v>343</v>
      </c>
      <c r="B109" s="11" t="str">
        <f t="shared" si="1"/>
        <v>G</v>
      </c>
      <c r="C109" s="12"/>
      <c r="D109" s="4" t="s">
        <v>344</v>
      </c>
      <c r="E109" s="4">
        <v>28914.0</v>
      </c>
      <c r="F109" s="25" t="s">
        <v>51</v>
      </c>
      <c r="G109" s="25" t="s">
        <v>105</v>
      </c>
      <c r="H109" s="6" t="s">
        <v>53</v>
      </c>
      <c r="J109" s="8" t="s">
        <v>51</v>
      </c>
      <c r="K109" s="8" t="s">
        <v>345</v>
      </c>
      <c r="L109" s="8" t="s">
        <v>346</v>
      </c>
      <c r="M109" s="6">
        <f t="shared" si="5"/>
        <v>1</v>
      </c>
      <c r="O109" s="14" t="str">
        <f t="shared" si="3"/>
        <v>G</v>
      </c>
    </row>
    <row r="110" ht="15.75" customHeight="1">
      <c r="A110" s="1" t="s">
        <v>347</v>
      </c>
      <c r="B110" s="11" t="str">
        <f t="shared" si="1"/>
        <v>G</v>
      </c>
      <c r="C110" s="12"/>
      <c r="D110" s="4" t="s">
        <v>348</v>
      </c>
      <c r="E110" s="4">
        <v>11955.0</v>
      </c>
      <c r="F110" s="8" t="s">
        <v>51</v>
      </c>
      <c r="G110" s="8" t="s">
        <v>105</v>
      </c>
      <c r="H110" s="8" t="s">
        <v>180</v>
      </c>
      <c r="J110" s="8" t="s">
        <v>51</v>
      </c>
      <c r="K110" s="8" t="s">
        <v>349</v>
      </c>
      <c r="L110" s="8" t="s">
        <v>350</v>
      </c>
      <c r="M110" s="6">
        <f t="shared" si="5"/>
        <v>1</v>
      </c>
      <c r="O110" s="14" t="str">
        <f t="shared" si="3"/>
        <v>G</v>
      </c>
    </row>
    <row r="111" ht="15.75" hidden="1" customHeight="1">
      <c r="A111" s="1" t="s">
        <v>351</v>
      </c>
      <c r="B111" s="11" t="str">
        <f t="shared" si="1"/>
        <v>E</v>
      </c>
      <c r="C111" s="12"/>
      <c r="D111" s="4" t="s">
        <v>352</v>
      </c>
      <c r="E111" s="4">
        <v>29241.0</v>
      </c>
      <c r="F111" s="15" t="s">
        <v>15</v>
      </c>
      <c r="G111" s="6" t="s">
        <v>142</v>
      </c>
      <c r="H111" s="6" t="s">
        <v>31</v>
      </c>
      <c r="J111" s="7" t="s">
        <v>51</v>
      </c>
      <c r="K111" s="8" t="s">
        <v>349</v>
      </c>
      <c r="L111" s="8" t="s">
        <v>350</v>
      </c>
      <c r="M111" s="6">
        <f t="shared" si="5"/>
        <v>0</v>
      </c>
      <c r="N111" s="9" t="s">
        <v>15</v>
      </c>
      <c r="O111" s="14" t="str">
        <f t="shared" si="3"/>
        <v>E</v>
      </c>
    </row>
    <row r="112" ht="15.75" customHeight="1">
      <c r="A112" s="1" t="s">
        <v>353</v>
      </c>
      <c r="B112" s="11" t="str">
        <f t="shared" si="1"/>
        <v>G</v>
      </c>
      <c r="C112" s="12"/>
      <c r="D112" s="4" t="s">
        <v>354</v>
      </c>
      <c r="E112" s="4">
        <v>25647.0</v>
      </c>
      <c r="F112" s="25" t="s">
        <v>51</v>
      </c>
      <c r="G112" s="25" t="s">
        <v>105</v>
      </c>
      <c r="H112" s="6" t="s">
        <v>53</v>
      </c>
      <c r="J112" s="8" t="s">
        <v>51</v>
      </c>
      <c r="K112" s="8" t="s">
        <v>355</v>
      </c>
      <c r="L112" s="8" t="s">
        <v>119</v>
      </c>
      <c r="M112" s="6">
        <f t="shared" si="5"/>
        <v>1</v>
      </c>
      <c r="O112" s="14" t="str">
        <f t="shared" si="3"/>
        <v>G</v>
      </c>
    </row>
    <row r="113" ht="15.75" hidden="1" customHeight="1">
      <c r="A113" s="1" t="s">
        <v>356</v>
      </c>
      <c r="B113" s="11" t="str">
        <f t="shared" si="1"/>
        <v>S</v>
      </c>
      <c r="C113" s="12"/>
      <c r="D113" s="4" t="s">
        <v>357</v>
      </c>
      <c r="E113" s="4">
        <v>340.0</v>
      </c>
      <c r="F113" s="6" t="s">
        <v>41</v>
      </c>
      <c r="G113" s="6" t="s">
        <v>159</v>
      </c>
      <c r="H113" s="6" t="s">
        <v>180</v>
      </c>
      <c r="J113" s="8" t="s">
        <v>41</v>
      </c>
      <c r="K113" s="8" t="s">
        <v>320</v>
      </c>
      <c r="L113" s="8" t="s">
        <v>119</v>
      </c>
      <c r="M113" s="6">
        <f t="shared" si="5"/>
        <v>1</v>
      </c>
      <c r="O113" s="14" t="str">
        <f t="shared" si="3"/>
        <v>S</v>
      </c>
    </row>
    <row r="114" ht="15.75" hidden="1" customHeight="1">
      <c r="A114" s="1" t="s">
        <v>358</v>
      </c>
      <c r="B114" s="11" t="str">
        <f t="shared" si="1"/>
        <v>I</v>
      </c>
      <c r="C114" s="12"/>
      <c r="D114" s="4" t="s">
        <v>359</v>
      </c>
      <c r="E114" s="4">
        <v>16071.0</v>
      </c>
      <c r="F114" s="6" t="s">
        <v>64</v>
      </c>
      <c r="G114" s="6" t="s">
        <v>65</v>
      </c>
      <c r="H114" s="6" t="s">
        <v>53</v>
      </c>
      <c r="J114" s="8" t="s">
        <v>64</v>
      </c>
      <c r="K114" s="8" t="s">
        <v>360</v>
      </c>
      <c r="L114" s="8" t="s">
        <v>53</v>
      </c>
      <c r="M114" s="6">
        <f t="shared" si="5"/>
        <v>1</v>
      </c>
      <c r="O114" s="14" t="str">
        <f t="shared" si="3"/>
        <v>I</v>
      </c>
    </row>
    <row r="115" ht="15.75" hidden="1" customHeight="1">
      <c r="A115" s="1" t="s">
        <v>361</v>
      </c>
      <c r="B115" s="11" t="str">
        <f t="shared" si="1"/>
        <v>I</v>
      </c>
      <c r="C115" s="12"/>
      <c r="D115" s="4" t="s">
        <v>362</v>
      </c>
      <c r="E115" s="4">
        <v>7779.0</v>
      </c>
      <c r="F115" s="6" t="s">
        <v>64</v>
      </c>
      <c r="G115" s="6" t="s">
        <v>159</v>
      </c>
      <c r="H115" s="6" t="s">
        <v>180</v>
      </c>
      <c r="J115" s="8" t="s">
        <v>64</v>
      </c>
      <c r="K115" s="8" t="s">
        <v>363</v>
      </c>
      <c r="L115" s="8" t="s">
        <v>350</v>
      </c>
      <c r="M115" s="6">
        <f t="shared" si="5"/>
        <v>1</v>
      </c>
      <c r="O115" s="14" t="str">
        <f t="shared" si="3"/>
        <v>I</v>
      </c>
    </row>
    <row r="116" ht="15.75" hidden="1" customHeight="1">
      <c r="A116" s="1" t="s">
        <v>364</v>
      </c>
      <c r="B116" s="11" t="str">
        <f t="shared" si="1"/>
        <v>E</v>
      </c>
      <c r="C116" s="12"/>
      <c r="D116" s="4" t="s">
        <v>365</v>
      </c>
      <c r="E116" s="4">
        <v>57324.0</v>
      </c>
      <c r="F116" s="15" t="s">
        <v>15</v>
      </c>
      <c r="G116" s="6" t="s">
        <v>142</v>
      </c>
      <c r="H116" s="6" t="s">
        <v>31</v>
      </c>
      <c r="J116" s="7" t="s">
        <v>41</v>
      </c>
      <c r="K116" s="8" t="s">
        <v>366</v>
      </c>
      <c r="L116" s="8" t="s">
        <v>19</v>
      </c>
      <c r="M116" s="6">
        <f t="shared" si="5"/>
        <v>0</v>
      </c>
      <c r="N116" s="9" t="s">
        <v>15</v>
      </c>
      <c r="O116" s="14" t="str">
        <f t="shared" si="3"/>
        <v>E</v>
      </c>
    </row>
    <row r="117" ht="15.75" customHeight="1">
      <c r="A117" s="1" t="s">
        <v>367</v>
      </c>
      <c r="B117" s="11" t="str">
        <f t="shared" si="1"/>
        <v>G</v>
      </c>
      <c r="C117" s="12"/>
      <c r="D117" s="4" t="s">
        <v>368</v>
      </c>
      <c r="E117" s="4">
        <v>7424.0</v>
      </c>
      <c r="F117" s="25" t="s">
        <v>51</v>
      </c>
      <c r="G117" s="25" t="s">
        <v>105</v>
      </c>
      <c r="H117" s="6" t="s">
        <v>53</v>
      </c>
      <c r="J117" s="8" t="s">
        <v>51</v>
      </c>
      <c r="K117" s="8" t="s">
        <v>369</v>
      </c>
      <c r="L117" s="8" t="s">
        <v>370</v>
      </c>
      <c r="M117" s="6">
        <f t="shared" si="5"/>
        <v>1</v>
      </c>
      <c r="O117" s="14" t="str">
        <f t="shared" si="3"/>
        <v>G</v>
      </c>
    </row>
    <row r="118" ht="15.75" customHeight="1">
      <c r="A118" s="1" t="s">
        <v>371</v>
      </c>
      <c r="B118" s="11" t="str">
        <f t="shared" si="1"/>
        <v>G</v>
      </c>
      <c r="C118" s="12"/>
      <c r="D118" s="4" t="s">
        <v>372</v>
      </c>
      <c r="E118" s="4">
        <v>9139.0</v>
      </c>
      <c r="F118" s="6" t="s">
        <v>51</v>
      </c>
      <c r="H118" s="6" t="s">
        <v>180</v>
      </c>
      <c r="J118" s="8" t="s">
        <v>51</v>
      </c>
      <c r="K118" s="8" t="s">
        <v>373</v>
      </c>
      <c r="L118" s="8" t="s">
        <v>119</v>
      </c>
      <c r="M118" s="6">
        <f t="shared" si="5"/>
        <v>1</v>
      </c>
      <c r="O118" s="14" t="str">
        <f t="shared" si="3"/>
        <v>G</v>
      </c>
    </row>
    <row r="119" ht="15.75" hidden="1" customHeight="1">
      <c r="A119" s="1" t="s">
        <v>374</v>
      </c>
      <c r="B119" s="11" t="str">
        <f t="shared" si="1"/>
        <v>E</v>
      </c>
      <c r="C119" s="12"/>
      <c r="D119" s="4" t="s">
        <v>375</v>
      </c>
      <c r="E119" s="4">
        <v>10920.0</v>
      </c>
      <c r="F119" s="6" t="s">
        <v>15</v>
      </c>
      <c r="H119" s="6" t="s">
        <v>17</v>
      </c>
      <c r="J119" s="8" t="s">
        <v>15</v>
      </c>
      <c r="K119" s="8" t="s">
        <v>376</v>
      </c>
      <c r="L119" s="8" t="s">
        <v>19</v>
      </c>
      <c r="M119" s="6">
        <f t="shared" si="5"/>
        <v>1</v>
      </c>
      <c r="O119" s="14" t="str">
        <f t="shared" si="3"/>
        <v>E</v>
      </c>
    </row>
    <row r="120" ht="15.75" customHeight="1">
      <c r="A120" s="1" t="s">
        <v>377</v>
      </c>
      <c r="B120" s="11" t="str">
        <f t="shared" si="1"/>
        <v>G</v>
      </c>
      <c r="C120" s="12"/>
      <c r="D120" s="4" t="s">
        <v>378</v>
      </c>
      <c r="E120" s="4">
        <v>11661.0</v>
      </c>
      <c r="F120" s="6" t="s">
        <v>51</v>
      </c>
      <c r="G120" s="6" t="s">
        <v>97</v>
      </c>
      <c r="H120" s="6" t="s">
        <v>98</v>
      </c>
      <c r="J120" s="8" t="s">
        <v>51</v>
      </c>
      <c r="K120" s="8" t="s">
        <v>379</v>
      </c>
      <c r="L120" s="8" t="s">
        <v>19</v>
      </c>
      <c r="M120" s="6">
        <f t="shared" si="5"/>
        <v>1</v>
      </c>
      <c r="O120" s="14" t="str">
        <f t="shared" si="3"/>
        <v>G</v>
      </c>
    </row>
    <row r="121" ht="15.75" hidden="1" customHeight="1">
      <c r="A121" s="1" t="s">
        <v>380</v>
      </c>
      <c r="B121" s="11" t="str">
        <f t="shared" si="1"/>
        <v>M</v>
      </c>
      <c r="C121" s="12"/>
      <c r="D121" s="4" t="s">
        <v>381</v>
      </c>
      <c r="E121" s="4">
        <v>31776.0</v>
      </c>
      <c r="F121" s="15" t="s">
        <v>51</v>
      </c>
      <c r="G121" s="6" t="s">
        <v>288</v>
      </c>
      <c r="H121" s="6" t="s">
        <v>98</v>
      </c>
      <c r="J121" s="7" t="s">
        <v>41</v>
      </c>
      <c r="K121" s="8" t="s">
        <v>288</v>
      </c>
      <c r="L121" s="8" t="s">
        <v>19</v>
      </c>
      <c r="M121" s="6">
        <f t="shared" si="5"/>
        <v>0</v>
      </c>
      <c r="N121" s="9" t="s">
        <v>100</v>
      </c>
      <c r="O121" s="14" t="str">
        <f t="shared" si="3"/>
        <v>M</v>
      </c>
    </row>
    <row r="122" ht="15.75" hidden="1" customHeight="1">
      <c r="A122" s="1" t="s">
        <v>382</v>
      </c>
      <c r="B122" s="11" t="str">
        <f t="shared" si="1"/>
        <v>M</v>
      </c>
      <c r="C122" s="12"/>
      <c r="D122" s="4" t="s">
        <v>381</v>
      </c>
      <c r="E122" s="4">
        <v>111.0</v>
      </c>
      <c r="F122" s="15" t="s">
        <v>51</v>
      </c>
      <c r="G122" s="6" t="s">
        <v>97</v>
      </c>
      <c r="H122" s="6" t="s">
        <v>98</v>
      </c>
      <c r="J122" s="7" t="s">
        <v>41</v>
      </c>
      <c r="K122" s="8" t="s">
        <v>288</v>
      </c>
      <c r="L122" s="8" t="s">
        <v>19</v>
      </c>
      <c r="M122" s="6">
        <f t="shared" si="5"/>
        <v>0</v>
      </c>
      <c r="N122" s="9" t="s">
        <v>100</v>
      </c>
      <c r="O122" s="14" t="str">
        <f t="shared" si="3"/>
        <v>M</v>
      </c>
    </row>
    <row r="123" ht="15.75" hidden="1" customHeight="1">
      <c r="A123" s="1" t="s">
        <v>383</v>
      </c>
      <c r="B123" s="11" t="str">
        <f t="shared" si="1"/>
        <v>S</v>
      </c>
      <c r="C123" s="12"/>
      <c r="D123" s="4" t="s">
        <v>384</v>
      </c>
      <c r="E123" s="4">
        <v>9641.0</v>
      </c>
      <c r="F123" s="15" t="s">
        <v>51</v>
      </c>
      <c r="G123" s="8" t="s">
        <v>105</v>
      </c>
      <c r="H123" s="8" t="s">
        <v>53</v>
      </c>
      <c r="J123" s="7" t="s">
        <v>41</v>
      </c>
      <c r="K123" s="8" t="s">
        <v>385</v>
      </c>
      <c r="L123" s="8" t="s">
        <v>53</v>
      </c>
      <c r="M123" s="6">
        <f t="shared" si="5"/>
        <v>0</v>
      </c>
      <c r="N123" s="9" t="s">
        <v>41</v>
      </c>
      <c r="O123" s="14" t="str">
        <f t="shared" si="3"/>
        <v>S</v>
      </c>
    </row>
    <row r="124" ht="15.75" customHeight="1">
      <c r="A124" s="1" t="s">
        <v>386</v>
      </c>
      <c r="B124" s="11" t="str">
        <f t="shared" si="1"/>
        <v>G</v>
      </c>
      <c r="C124" s="12"/>
      <c r="D124" s="4" t="s">
        <v>387</v>
      </c>
      <c r="E124" s="4">
        <v>13984.0</v>
      </c>
      <c r="F124" s="5" t="s">
        <v>51</v>
      </c>
      <c r="G124" s="8" t="s">
        <v>105</v>
      </c>
      <c r="H124" s="8" t="s">
        <v>53</v>
      </c>
      <c r="J124" s="7" t="s">
        <v>41</v>
      </c>
      <c r="K124" s="8" t="s">
        <v>388</v>
      </c>
      <c r="L124" s="8" t="s">
        <v>53</v>
      </c>
      <c r="M124" s="6">
        <f t="shared" si="5"/>
        <v>0</v>
      </c>
      <c r="N124" s="9" t="s">
        <v>51</v>
      </c>
      <c r="O124" s="14" t="str">
        <f t="shared" si="3"/>
        <v>G</v>
      </c>
    </row>
    <row r="125" ht="15.75" hidden="1" customHeight="1">
      <c r="A125" s="1" t="s">
        <v>389</v>
      </c>
      <c r="B125" s="11" t="str">
        <f t="shared" si="1"/>
        <v>M</v>
      </c>
      <c r="C125" s="12"/>
      <c r="D125" s="4" t="s">
        <v>390</v>
      </c>
      <c r="E125" s="4">
        <v>10310.0</v>
      </c>
      <c r="F125" s="15" t="s">
        <v>15</v>
      </c>
      <c r="G125" s="6" t="s">
        <v>391</v>
      </c>
      <c r="H125" s="6" t="s">
        <v>53</v>
      </c>
      <c r="J125" s="7" t="s">
        <v>41</v>
      </c>
      <c r="K125" s="8" t="s">
        <v>392</v>
      </c>
      <c r="L125" s="8" t="s">
        <v>19</v>
      </c>
      <c r="M125" s="6">
        <f t="shared" si="5"/>
        <v>0</v>
      </c>
      <c r="N125" s="9" t="s">
        <v>100</v>
      </c>
      <c r="O125" s="14" t="str">
        <f t="shared" si="3"/>
        <v>M</v>
      </c>
    </row>
    <row r="126" ht="15.75" hidden="1" customHeight="1">
      <c r="A126" s="1" t="s">
        <v>393</v>
      </c>
      <c r="B126" s="11" t="str">
        <f t="shared" si="1"/>
        <v>I</v>
      </c>
      <c r="C126" s="12"/>
      <c r="D126" s="4" t="s">
        <v>394</v>
      </c>
      <c r="E126" s="4">
        <v>15688.0</v>
      </c>
      <c r="F126" s="6" t="s">
        <v>64</v>
      </c>
      <c r="G126" s="6" t="s">
        <v>65</v>
      </c>
      <c r="H126" s="6" t="s">
        <v>53</v>
      </c>
      <c r="J126" s="8" t="s">
        <v>64</v>
      </c>
      <c r="K126" s="8" t="s">
        <v>238</v>
      </c>
      <c r="L126" s="8" t="s">
        <v>19</v>
      </c>
      <c r="M126" s="6">
        <f t="shared" si="5"/>
        <v>1</v>
      </c>
      <c r="O126" s="14" t="str">
        <f t="shared" si="3"/>
        <v>I</v>
      </c>
    </row>
    <row r="127" ht="15.75" hidden="1" customHeight="1">
      <c r="A127" s="1" t="s">
        <v>395</v>
      </c>
      <c r="B127" s="11" t="str">
        <f t="shared" si="1"/>
        <v>S</v>
      </c>
      <c r="C127" s="12"/>
      <c r="D127" s="4" t="s">
        <v>396</v>
      </c>
      <c r="E127" s="4">
        <v>17490.0</v>
      </c>
      <c r="F127" s="6" t="s">
        <v>41</v>
      </c>
      <c r="G127" s="6" t="s">
        <v>159</v>
      </c>
      <c r="H127" s="6" t="s">
        <v>180</v>
      </c>
      <c r="J127" s="8" t="s">
        <v>41</v>
      </c>
      <c r="K127" s="8" t="s">
        <v>320</v>
      </c>
      <c r="L127" s="8" t="s">
        <v>289</v>
      </c>
      <c r="M127" s="6">
        <f t="shared" si="5"/>
        <v>1</v>
      </c>
      <c r="O127" s="14" t="str">
        <f t="shared" si="3"/>
        <v>S</v>
      </c>
    </row>
    <row r="128" ht="15.75" hidden="1" customHeight="1">
      <c r="A128" s="1" t="s">
        <v>397</v>
      </c>
      <c r="B128" s="11" t="str">
        <f t="shared" si="1"/>
        <v>I</v>
      </c>
      <c r="C128" s="12"/>
      <c r="D128" s="4" t="s">
        <v>398</v>
      </c>
      <c r="E128" s="4">
        <v>11401.0</v>
      </c>
      <c r="F128" s="6" t="s">
        <v>64</v>
      </c>
      <c r="G128" s="6" t="s">
        <v>399</v>
      </c>
      <c r="H128" s="6" t="s">
        <v>53</v>
      </c>
      <c r="J128" s="8" t="s">
        <v>64</v>
      </c>
      <c r="K128" s="8" t="s">
        <v>400</v>
      </c>
      <c r="L128" s="8" t="s">
        <v>401</v>
      </c>
      <c r="M128" s="6">
        <f t="shared" si="5"/>
        <v>1</v>
      </c>
      <c r="O128" s="14" t="str">
        <f t="shared" si="3"/>
        <v>I</v>
      </c>
    </row>
    <row r="129" ht="15.75" hidden="1" customHeight="1">
      <c r="A129" s="1" t="s">
        <v>402</v>
      </c>
      <c r="B129" s="11" t="str">
        <f t="shared" si="1"/>
        <v>E</v>
      </c>
      <c r="C129" s="12"/>
      <c r="D129" s="4" t="s">
        <v>403</v>
      </c>
      <c r="E129" s="4">
        <v>9203.0</v>
      </c>
      <c r="F129" s="15" t="s">
        <v>15</v>
      </c>
      <c r="G129" s="6" t="s">
        <v>142</v>
      </c>
      <c r="H129" s="6" t="s">
        <v>17</v>
      </c>
      <c r="J129" s="7" t="s">
        <v>41</v>
      </c>
      <c r="K129" s="8" t="s">
        <v>404</v>
      </c>
      <c r="L129" s="8" t="s">
        <v>19</v>
      </c>
      <c r="M129" s="6">
        <f t="shared" si="5"/>
        <v>0</v>
      </c>
      <c r="N129" s="9" t="s">
        <v>15</v>
      </c>
      <c r="O129" s="14" t="str">
        <f t="shared" si="3"/>
        <v>E</v>
      </c>
    </row>
    <row r="130" ht="15.75" hidden="1" customHeight="1">
      <c r="A130" s="1" t="s">
        <v>405</v>
      </c>
      <c r="B130" s="11" t="str">
        <f t="shared" si="1"/>
        <v>I</v>
      </c>
      <c r="C130" s="12"/>
      <c r="D130" s="4" t="s">
        <v>152</v>
      </c>
      <c r="E130" s="4">
        <v>256.0</v>
      </c>
      <c r="F130" s="6" t="s">
        <v>64</v>
      </c>
      <c r="G130" s="6" t="s">
        <v>65</v>
      </c>
      <c r="H130" s="6" t="s">
        <v>53</v>
      </c>
      <c r="J130" s="8" t="s">
        <v>64</v>
      </c>
      <c r="K130" s="8" t="s">
        <v>238</v>
      </c>
      <c r="L130" s="8" t="s">
        <v>53</v>
      </c>
      <c r="M130" s="6">
        <f t="shared" si="5"/>
        <v>1</v>
      </c>
      <c r="O130" s="14" t="str">
        <f t="shared" si="3"/>
        <v>I</v>
      </c>
    </row>
    <row r="131" ht="15.75" customHeight="1">
      <c r="A131" s="1" t="s">
        <v>406</v>
      </c>
      <c r="B131" s="11" t="str">
        <f t="shared" si="1"/>
        <v>G</v>
      </c>
      <c r="C131" s="12"/>
      <c r="D131" s="4" t="s">
        <v>407</v>
      </c>
      <c r="E131" s="4">
        <v>10789.0</v>
      </c>
      <c r="F131" s="6" t="s">
        <v>51</v>
      </c>
      <c r="G131" s="6" t="s">
        <v>57</v>
      </c>
      <c r="H131" s="6" t="s">
        <v>53</v>
      </c>
      <c r="J131" s="8" t="s">
        <v>51</v>
      </c>
      <c r="K131" s="8" t="s">
        <v>408</v>
      </c>
      <c r="L131" s="8" t="s">
        <v>53</v>
      </c>
      <c r="M131" s="6">
        <f t="shared" si="5"/>
        <v>1</v>
      </c>
      <c r="O131" s="14" t="str">
        <f t="shared" si="3"/>
        <v>G</v>
      </c>
    </row>
    <row r="132" ht="15.75" hidden="1" customHeight="1">
      <c r="A132" s="1" t="s">
        <v>409</v>
      </c>
      <c r="B132" s="11" t="str">
        <f t="shared" si="1"/>
        <v>I</v>
      </c>
      <c r="C132" s="12"/>
      <c r="D132" s="4" t="s">
        <v>410</v>
      </c>
      <c r="E132" s="4">
        <v>11403.0</v>
      </c>
      <c r="F132" s="6" t="s">
        <v>64</v>
      </c>
      <c r="G132" s="6" t="s">
        <v>65</v>
      </c>
      <c r="H132" s="6" t="s">
        <v>53</v>
      </c>
      <c r="J132" s="8" t="s">
        <v>64</v>
      </c>
      <c r="K132" s="8" t="s">
        <v>238</v>
      </c>
      <c r="L132" s="8" t="s">
        <v>411</v>
      </c>
      <c r="M132" s="6">
        <f t="shared" si="5"/>
        <v>1</v>
      </c>
      <c r="O132" s="14" t="str">
        <f t="shared" si="3"/>
        <v>I</v>
      </c>
    </row>
    <row r="133" ht="15.75" hidden="1" customHeight="1">
      <c r="A133" s="1" t="s">
        <v>412</v>
      </c>
      <c r="B133" s="11" t="str">
        <f t="shared" si="1"/>
        <v>I</v>
      </c>
      <c r="C133" s="12"/>
      <c r="D133" s="4" t="s">
        <v>413</v>
      </c>
      <c r="E133" s="4">
        <v>3073.0</v>
      </c>
      <c r="F133" s="15" t="s">
        <v>64</v>
      </c>
      <c r="G133" s="6" t="s">
        <v>65</v>
      </c>
      <c r="H133" s="6" t="s">
        <v>53</v>
      </c>
      <c r="J133" s="7" t="s">
        <v>51</v>
      </c>
      <c r="K133" s="8" t="s">
        <v>414</v>
      </c>
      <c r="L133" s="8" t="s">
        <v>53</v>
      </c>
      <c r="M133" s="6">
        <f t="shared" si="5"/>
        <v>0</v>
      </c>
      <c r="N133" s="9" t="s">
        <v>64</v>
      </c>
      <c r="O133" s="14" t="str">
        <f t="shared" si="3"/>
        <v>I</v>
      </c>
    </row>
    <row r="134" ht="15.75" hidden="1" customHeight="1">
      <c r="A134" s="1" t="s">
        <v>415</v>
      </c>
      <c r="B134" s="11" t="str">
        <f t="shared" si="1"/>
        <v>M</v>
      </c>
      <c r="C134" s="12"/>
      <c r="D134" s="4" t="s">
        <v>416</v>
      </c>
      <c r="E134" s="4">
        <v>905.0</v>
      </c>
      <c r="F134" s="15" t="s">
        <v>51</v>
      </c>
      <c r="G134" s="6" t="s">
        <v>97</v>
      </c>
      <c r="H134" s="6" t="s">
        <v>98</v>
      </c>
      <c r="J134" s="7" t="s">
        <v>41</v>
      </c>
      <c r="K134" s="8" t="s">
        <v>191</v>
      </c>
      <c r="L134" s="8" t="s">
        <v>19</v>
      </c>
      <c r="M134" s="6">
        <f t="shared" si="5"/>
        <v>0</v>
      </c>
      <c r="N134" s="9" t="s">
        <v>100</v>
      </c>
      <c r="O134" s="14" t="str">
        <f t="shared" si="3"/>
        <v>M</v>
      </c>
    </row>
    <row r="135" ht="15.75" hidden="1" customHeight="1">
      <c r="A135" s="1" t="s">
        <v>417</v>
      </c>
      <c r="B135" s="11" t="str">
        <f t="shared" si="1"/>
        <v>S</v>
      </c>
      <c r="C135" s="12"/>
      <c r="D135" s="4" t="s">
        <v>418</v>
      </c>
      <c r="E135" s="4">
        <v>12613.0</v>
      </c>
      <c r="F135" s="6" t="s">
        <v>41</v>
      </c>
      <c r="G135" s="6" t="s">
        <v>159</v>
      </c>
      <c r="H135" s="6" t="s">
        <v>180</v>
      </c>
      <c r="J135" s="8" t="s">
        <v>41</v>
      </c>
      <c r="K135" s="8" t="s">
        <v>320</v>
      </c>
      <c r="L135" s="8" t="s">
        <v>342</v>
      </c>
      <c r="M135" s="6">
        <f t="shared" si="5"/>
        <v>1</v>
      </c>
      <c r="O135" s="14" t="str">
        <f t="shared" si="3"/>
        <v>S</v>
      </c>
    </row>
    <row r="136" ht="15.75" hidden="1" customHeight="1">
      <c r="A136" s="1" t="s">
        <v>419</v>
      </c>
      <c r="B136" s="11" t="str">
        <f t="shared" si="1"/>
        <v>I</v>
      </c>
      <c r="C136" s="12"/>
      <c r="D136" s="4" t="s">
        <v>420</v>
      </c>
      <c r="E136" s="4">
        <v>2598.0</v>
      </c>
      <c r="F136" s="6" t="s">
        <v>64</v>
      </c>
      <c r="G136" s="6" t="s">
        <v>399</v>
      </c>
      <c r="H136" s="6" t="s">
        <v>53</v>
      </c>
      <c r="J136" s="8" t="s">
        <v>64</v>
      </c>
      <c r="K136" s="8" t="s">
        <v>400</v>
      </c>
      <c r="L136" s="8" t="s">
        <v>53</v>
      </c>
      <c r="M136" s="6">
        <f t="shared" si="5"/>
        <v>1</v>
      </c>
      <c r="O136" s="14" t="str">
        <f t="shared" si="3"/>
        <v>I</v>
      </c>
    </row>
    <row r="137" ht="15.75" hidden="1" customHeight="1">
      <c r="A137" s="1" t="s">
        <v>421</v>
      </c>
      <c r="B137" s="11" t="str">
        <f t="shared" si="1"/>
        <v>S</v>
      </c>
      <c r="C137" s="12"/>
      <c r="D137" s="4" t="s">
        <v>422</v>
      </c>
      <c r="E137" s="4">
        <v>5.0</v>
      </c>
      <c r="F137" s="6" t="s">
        <v>41</v>
      </c>
      <c r="G137" s="6" t="s">
        <v>159</v>
      </c>
      <c r="H137" s="6" t="s">
        <v>180</v>
      </c>
      <c r="J137" s="8" t="s">
        <v>41</v>
      </c>
      <c r="K137" s="8" t="s">
        <v>320</v>
      </c>
      <c r="L137" s="8" t="s">
        <v>423</v>
      </c>
      <c r="M137" s="6">
        <f t="shared" si="5"/>
        <v>1</v>
      </c>
      <c r="O137" s="14" t="str">
        <f t="shared" si="3"/>
        <v>S</v>
      </c>
    </row>
    <row r="138" ht="15.75" hidden="1" customHeight="1">
      <c r="A138" s="1" t="s">
        <v>424</v>
      </c>
      <c r="B138" s="11" t="str">
        <f t="shared" si="1"/>
        <v>S</v>
      </c>
      <c r="C138" s="12"/>
      <c r="D138" s="4" t="s">
        <v>425</v>
      </c>
      <c r="E138" s="4">
        <v>16012.0</v>
      </c>
      <c r="F138" s="6" t="s">
        <v>41</v>
      </c>
      <c r="G138" s="6" t="s">
        <v>159</v>
      </c>
      <c r="H138" s="6" t="s">
        <v>180</v>
      </c>
      <c r="J138" s="8" t="s">
        <v>41</v>
      </c>
      <c r="K138" s="8" t="s">
        <v>426</v>
      </c>
      <c r="L138" s="8" t="s">
        <v>119</v>
      </c>
      <c r="M138" s="6">
        <f t="shared" si="5"/>
        <v>1</v>
      </c>
      <c r="O138" s="14" t="str">
        <f t="shared" si="3"/>
        <v>S</v>
      </c>
    </row>
    <row r="139" ht="15.75" hidden="1" customHeight="1">
      <c r="A139" s="1" t="s">
        <v>427</v>
      </c>
      <c r="B139" s="11" t="str">
        <f t="shared" si="1"/>
        <v>S</v>
      </c>
      <c r="C139" s="12"/>
      <c r="D139" s="4" t="s">
        <v>428</v>
      </c>
      <c r="E139" s="4">
        <v>204.0</v>
      </c>
      <c r="F139" s="6" t="s">
        <v>41</v>
      </c>
      <c r="G139" s="6" t="s">
        <v>159</v>
      </c>
      <c r="H139" s="6" t="s">
        <v>180</v>
      </c>
      <c r="J139" s="8" t="s">
        <v>41</v>
      </c>
      <c r="K139" s="8" t="s">
        <v>426</v>
      </c>
      <c r="L139" s="8" t="s">
        <v>119</v>
      </c>
      <c r="M139" s="6">
        <f t="shared" si="5"/>
        <v>1</v>
      </c>
      <c r="O139" s="14" t="str">
        <f t="shared" si="3"/>
        <v>S</v>
      </c>
    </row>
    <row r="140" ht="15.75" hidden="1" customHeight="1">
      <c r="A140" s="1" t="s">
        <v>429</v>
      </c>
      <c r="B140" s="11" t="str">
        <f t="shared" si="1"/>
        <v>S</v>
      </c>
      <c r="C140" s="12"/>
      <c r="D140" s="4" t="s">
        <v>430</v>
      </c>
      <c r="E140" s="4">
        <v>11381.0</v>
      </c>
      <c r="F140" s="6" t="s">
        <v>41</v>
      </c>
      <c r="G140" s="6" t="s">
        <v>159</v>
      </c>
      <c r="H140" s="6" t="s">
        <v>180</v>
      </c>
      <c r="J140" s="8" t="s">
        <v>41</v>
      </c>
      <c r="K140" s="8" t="s">
        <v>272</v>
      </c>
      <c r="L140" s="8" t="s">
        <v>119</v>
      </c>
      <c r="M140" s="6">
        <f t="shared" si="5"/>
        <v>1</v>
      </c>
      <c r="O140" s="14" t="str">
        <f t="shared" si="3"/>
        <v>S</v>
      </c>
    </row>
    <row r="141" ht="15.75" hidden="1" customHeight="1">
      <c r="A141" s="1" t="s">
        <v>431</v>
      </c>
      <c r="B141" s="11" t="str">
        <f t="shared" si="1"/>
        <v>I</v>
      </c>
      <c r="C141" s="12"/>
      <c r="D141" s="4" t="s">
        <v>432</v>
      </c>
      <c r="E141" s="4">
        <v>11745.0</v>
      </c>
      <c r="F141" s="6" t="s">
        <v>64</v>
      </c>
      <c r="G141" s="6" t="s">
        <v>433</v>
      </c>
      <c r="H141" s="6" t="s">
        <v>53</v>
      </c>
      <c r="J141" s="8" t="s">
        <v>64</v>
      </c>
      <c r="K141" s="8" t="s">
        <v>434</v>
      </c>
      <c r="L141" s="8" t="s">
        <v>155</v>
      </c>
      <c r="M141" s="6">
        <f t="shared" si="5"/>
        <v>1</v>
      </c>
      <c r="O141" s="14" t="str">
        <f t="shared" si="3"/>
        <v>I</v>
      </c>
    </row>
    <row r="142" ht="15.75" hidden="1" customHeight="1">
      <c r="A142" s="1" t="s">
        <v>435</v>
      </c>
      <c r="B142" s="11" t="str">
        <f t="shared" si="1"/>
        <v>I</v>
      </c>
      <c r="C142" s="12"/>
      <c r="D142" s="4" t="s">
        <v>436</v>
      </c>
      <c r="E142" s="4">
        <v>53444.0</v>
      </c>
      <c r="F142" s="6" t="s">
        <v>64</v>
      </c>
      <c r="G142" s="6" t="s">
        <v>65</v>
      </c>
      <c r="H142" s="6" t="s">
        <v>53</v>
      </c>
      <c r="J142" s="8" t="s">
        <v>64</v>
      </c>
      <c r="K142" s="8" t="s">
        <v>65</v>
      </c>
      <c r="L142" s="8" t="s">
        <v>53</v>
      </c>
      <c r="M142" s="6">
        <f t="shared" si="5"/>
        <v>1</v>
      </c>
      <c r="O142" s="14" t="str">
        <f t="shared" si="3"/>
        <v>I</v>
      </c>
    </row>
    <row r="143" ht="15.75" hidden="1" customHeight="1">
      <c r="A143" s="1" t="s">
        <v>437</v>
      </c>
      <c r="B143" s="11" t="str">
        <f t="shared" si="1"/>
        <v>I</v>
      </c>
      <c r="C143" s="12"/>
      <c r="D143" s="4" t="s">
        <v>438</v>
      </c>
      <c r="E143" s="4">
        <v>12164.0</v>
      </c>
      <c r="F143" s="6" t="s">
        <v>64</v>
      </c>
      <c r="G143" s="6" t="s">
        <v>65</v>
      </c>
      <c r="H143" s="6" t="s">
        <v>180</v>
      </c>
      <c r="J143" s="8" t="s">
        <v>64</v>
      </c>
      <c r="K143" s="8" t="s">
        <v>65</v>
      </c>
      <c r="L143" s="8" t="s">
        <v>119</v>
      </c>
      <c r="M143" s="6">
        <f t="shared" si="5"/>
        <v>1</v>
      </c>
      <c r="O143" s="14" t="str">
        <f t="shared" si="3"/>
        <v>I</v>
      </c>
    </row>
    <row r="144" ht="15.75" hidden="1" customHeight="1">
      <c r="A144" s="1" t="s">
        <v>439</v>
      </c>
      <c r="B144" s="11" t="str">
        <f t="shared" si="1"/>
        <v>I</v>
      </c>
      <c r="C144" s="12"/>
      <c r="D144" s="4" t="s">
        <v>440</v>
      </c>
      <c r="E144" s="4">
        <v>14789.0</v>
      </c>
      <c r="F144" s="6" t="s">
        <v>64</v>
      </c>
      <c r="G144" s="6" t="s">
        <v>65</v>
      </c>
      <c r="H144" s="6" t="s">
        <v>53</v>
      </c>
      <c r="I144" s="6" t="s">
        <v>150</v>
      </c>
      <c r="J144" s="8" t="s">
        <v>64</v>
      </c>
      <c r="K144" s="8" t="s">
        <v>65</v>
      </c>
      <c r="L144" s="8" t="s">
        <v>242</v>
      </c>
      <c r="M144" s="6">
        <f t="shared" si="5"/>
        <v>1</v>
      </c>
      <c r="O144" s="14" t="str">
        <f t="shared" si="3"/>
        <v>I</v>
      </c>
    </row>
    <row r="145" ht="15.75" hidden="1" customHeight="1">
      <c r="A145" s="1" t="s">
        <v>441</v>
      </c>
      <c r="B145" s="11" t="str">
        <f t="shared" si="1"/>
        <v>I</v>
      </c>
      <c r="C145" s="12"/>
      <c r="D145" s="4" t="s">
        <v>442</v>
      </c>
      <c r="E145" s="4">
        <v>16224.0</v>
      </c>
      <c r="F145" s="6" t="s">
        <v>64</v>
      </c>
      <c r="G145" s="6" t="s">
        <v>443</v>
      </c>
      <c r="H145" s="6" t="s">
        <v>53</v>
      </c>
      <c r="J145" s="8" t="s">
        <v>64</v>
      </c>
      <c r="K145" s="8" t="s">
        <v>444</v>
      </c>
      <c r="L145" s="8" t="s">
        <v>242</v>
      </c>
      <c r="M145" s="6">
        <f t="shared" si="5"/>
        <v>1</v>
      </c>
      <c r="O145" s="14" t="str">
        <f t="shared" si="3"/>
        <v>I</v>
      </c>
    </row>
    <row r="146" ht="15.75" hidden="1" customHeight="1">
      <c r="A146" s="1" t="s">
        <v>445</v>
      </c>
      <c r="B146" s="11" t="str">
        <f t="shared" si="1"/>
        <v>I</v>
      </c>
      <c r="C146" s="12"/>
      <c r="D146" s="4" t="s">
        <v>446</v>
      </c>
      <c r="E146" s="4">
        <v>25980.0</v>
      </c>
      <c r="F146" s="6" t="s">
        <v>64</v>
      </c>
      <c r="G146" s="6" t="s">
        <v>65</v>
      </c>
      <c r="H146" s="6" t="s">
        <v>53</v>
      </c>
      <c r="J146" s="8" t="s">
        <v>64</v>
      </c>
      <c r="K146" s="8" t="s">
        <v>65</v>
      </c>
      <c r="L146" s="8" t="s">
        <v>447</v>
      </c>
      <c r="M146" s="6">
        <f t="shared" si="5"/>
        <v>1</v>
      </c>
      <c r="O146" s="14" t="str">
        <f t="shared" si="3"/>
        <v>I</v>
      </c>
    </row>
    <row r="147" ht="15.75" hidden="1" customHeight="1">
      <c r="A147" s="1" t="s">
        <v>448</v>
      </c>
      <c r="B147" s="11" t="str">
        <f t="shared" si="1"/>
        <v>I</v>
      </c>
      <c r="C147" s="12"/>
      <c r="D147" s="4" t="s">
        <v>449</v>
      </c>
      <c r="E147" s="4">
        <v>13498.0</v>
      </c>
      <c r="F147" s="6" t="s">
        <v>64</v>
      </c>
      <c r="G147" s="6" t="s">
        <v>65</v>
      </c>
      <c r="H147" s="6" t="s">
        <v>53</v>
      </c>
      <c r="I147" s="6" t="s">
        <v>150</v>
      </c>
      <c r="J147" s="8" t="s">
        <v>64</v>
      </c>
      <c r="K147" s="8" t="s">
        <v>65</v>
      </c>
      <c r="L147" s="8" t="s">
        <v>155</v>
      </c>
      <c r="M147" s="6">
        <f t="shared" si="5"/>
        <v>1</v>
      </c>
      <c r="O147" s="14" t="str">
        <f t="shared" si="3"/>
        <v>I</v>
      </c>
    </row>
    <row r="148" ht="15.75" hidden="1" customHeight="1">
      <c r="A148" s="1" t="s">
        <v>450</v>
      </c>
      <c r="B148" s="11" t="str">
        <f t="shared" si="1"/>
        <v>M</v>
      </c>
      <c r="C148" s="12"/>
      <c r="D148" s="4" t="s">
        <v>451</v>
      </c>
      <c r="E148" s="4">
        <v>16363.0</v>
      </c>
      <c r="F148" s="15" t="s">
        <v>51</v>
      </c>
      <c r="H148" s="6" t="s">
        <v>98</v>
      </c>
      <c r="J148" s="7" t="s">
        <v>41</v>
      </c>
      <c r="K148" s="8" t="s">
        <v>452</v>
      </c>
      <c r="L148" s="8" t="s">
        <v>28</v>
      </c>
      <c r="M148" s="6">
        <f t="shared" si="5"/>
        <v>0</v>
      </c>
      <c r="N148" s="9" t="s">
        <v>100</v>
      </c>
      <c r="O148" s="14" t="str">
        <f t="shared" si="3"/>
        <v>M</v>
      </c>
    </row>
    <row r="149" ht="15.75" hidden="1" customHeight="1">
      <c r="A149" s="1" t="s">
        <v>453</v>
      </c>
      <c r="B149" s="11" t="str">
        <f t="shared" si="1"/>
        <v>M</v>
      </c>
      <c r="C149" s="12"/>
      <c r="D149" s="4" t="s">
        <v>454</v>
      </c>
      <c r="E149" s="4">
        <v>14464.0</v>
      </c>
      <c r="F149" s="15" t="s">
        <v>51</v>
      </c>
      <c r="G149" s="6" t="s">
        <v>97</v>
      </c>
      <c r="H149" s="6" t="s">
        <v>98</v>
      </c>
      <c r="J149" s="7" t="s">
        <v>64</v>
      </c>
      <c r="K149" s="8" t="s">
        <v>455</v>
      </c>
      <c r="L149" s="8" t="s">
        <v>28</v>
      </c>
      <c r="M149" s="6">
        <f t="shared" si="5"/>
        <v>0</v>
      </c>
      <c r="N149" s="9" t="s">
        <v>100</v>
      </c>
      <c r="O149" s="14" t="str">
        <f t="shared" si="3"/>
        <v>M</v>
      </c>
    </row>
    <row r="150" ht="15.75" hidden="1" customHeight="1">
      <c r="A150" s="1" t="s">
        <v>456</v>
      </c>
      <c r="B150" s="11" t="str">
        <f t="shared" si="1"/>
        <v>M</v>
      </c>
      <c r="C150" s="12"/>
      <c r="D150" s="4" t="s">
        <v>457</v>
      </c>
      <c r="E150" s="4">
        <v>10026.0</v>
      </c>
      <c r="F150" s="15" t="s">
        <v>51</v>
      </c>
      <c r="G150" s="6" t="s">
        <v>97</v>
      </c>
      <c r="H150" s="6" t="s">
        <v>98</v>
      </c>
      <c r="J150" s="7" t="s">
        <v>41</v>
      </c>
      <c r="K150" s="8" t="s">
        <v>458</v>
      </c>
      <c r="L150" s="8" t="s">
        <v>274</v>
      </c>
      <c r="M150" s="6">
        <f t="shared" si="5"/>
        <v>0</v>
      </c>
      <c r="N150" s="9" t="s">
        <v>100</v>
      </c>
      <c r="O150" s="14" t="str">
        <f t="shared" si="3"/>
        <v>M</v>
      </c>
    </row>
    <row r="151" ht="15.75" hidden="1" customHeight="1">
      <c r="A151" s="1" t="s">
        <v>459</v>
      </c>
      <c r="B151" s="11" t="str">
        <f t="shared" si="1"/>
        <v>E</v>
      </c>
      <c r="C151" s="12"/>
      <c r="D151" s="4" t="s">
        <v>460</v>
      </c>
      <c r="E151" s="4">
        <v>7626.0</v>
      </c>
      <c r="F151" s="6" t="s">
        <v>15</v>
      </c>
      <c r="G151" s="6" t="s">
        <v>461</v>
      </c>
      <c r="H151" s="6" t="s">
        <v>17</v>
      </c>
      <c r="J151" s="8" t="s">
        <v>15</v>
      </c>
      <c r="K151" s="8" t="s">
        <v>462</v>
      </c>
      <c r="L151" s="8" t="s">
        <v>19</v>
      </c>
      <c r="M151" s="6">
        <f t="shared" si="5"/>
        <v>1</v>
      </c>
      <c r="O151" s="14" t="str">
        <f t="shared" si="3"/>
        <v>E</v>
      </c>
    </row>
    <row r="152" ht="15.75" hidden="1" customHeight="1">
      <c r="A152" s="1" t="s">
        <v>463</v>
      </c>
      <c r="B152" s="11" t="str">
        <f t="shared" si="1"/>
        <v>I</v>
      </c>
      <c r="C152" s="3" t="s">
        <v>464</v>
      </c>
      <c r="D152" s="4" t="s">
        <v>465</v>
      </c>
      <c r="E152" s="4">
        <v>11722.0</v>
      </c>
      <c r="F152" s="8" t="s">
        <v>64</v>
      </c>
      <c r="G152" s="8" t="s">
        <v>65</v>
      </c>
      <c r="H152" s="8" t="s">
        <v>53</v>
      </c>
      <c r="J152" s="8" t="s">
        <v>64</v>
      </c>
      <c r="K152" s="8" t="s">
        <v>65</v>
      </c>
      <c r="L152" s="8" t="s">
        <v>274</v>
      </c>
      <c r="M152" s="6">
        <f t="shared" si="5"/>
        <v>1</v>
      </c>
      <c r="O152" s="14" t="str">
        <f t="shared" si="3"/>
        <v>I</v>
      </c>
    </row>
    <row r="153" ht="15.75" hidden="1" customHeight="1">
      <c r="A153" s="1" t="s">
        <v>466</v>
      </c>
      <c r="B153" s="11" t="str">
        <f t="shared" si="1"/>
        <v>M</v>
      </c>
      <c r="C153" s="3" t="s">
        <v>467</v>
      </c>
      <c r="D153" s="4" t="s">
        <v>468</v>
      </c>
      <c r="E153" s="4">
        <v>24319.0</v>
      </c>
      <c r="F153" s="5" t="s">
        <v>51</v>
      </c>
      <c r="G153" s="8" t="s">
        <v>97</v>
      </c>
      <c r="H153" s="8" t="s">
        <v>298</v>
      </c>
      <c r="J153" s="7" t="s">
        <v>41</v>
      </c>
      <c r="L153" s="8" t="s">
        <v>274</v>
      </c>
      <c r="M153" s="6">
        <f t="shared" si="5"/>
        <v>0</v>
      </c>
      <c r="N153" s="9" t="s">
        <v>100</v>
      </c>
      <c r="O153" s="14" t="str">
        <f t="shared" si="3"/>
        <v>M</v>
      </c>
    </row>
    <row r="154" ht="15.75" hidden="1" customHeight="1">
      <c r="A154" s="1" t="s">
        <v>469</v>
      </c>
      <c r="B154" s="11" t="str">
        <f t="shared" si="1"/>
        <v>M</v>
      </c>
      <c r="C154" s="3" t="s">
        <v>470</v>
      </c>
      <c r="D154" s="4" t="s">
        <v>471</v>
      </c>
      <c r="E154" s="4">
        <v>44795.0</v>
      </c>
      <c r="F154" s="5" t="s">
        <v>51</v>
      </c>
      <c r="G154" s="8" t="s">
        <v>97</v>
      </c>
      <c r="H154" s="8" t="s">
        <v>298</v>
      </c>
      <c r="J154" s="7" t="s">
        <v>41</v>
      </c>
      <c r="L154" s="8" t="s">
        <v>274</v>
      </c>
      <c r="M154" s="6">
        <f t="shared" si="5"/>
        <v>0</v>
      </c>
      <c r="N154" s="9" t="s">
        <v>100</v>
      </c>
      <c r="O154" s="14" t="str">
        <f t="shared" si="3"/>
        <v>M</v>
      </c>
    </row>
    <row r="155" ht="15.75" hidden="1" customHeight="1">
      <c r="A155" s="1" t="s">
        <v>472</v>
      </c>
      <c r="B155" s="11" t="str">
        <f t="shared" si="1"/>
        <v>M</v>
      </c>
      <c r="C155" s="3" t="s">
        <v>473</v>
      </c>
      <c r="D155" s="4" t="s">
        <v>474</v>
      </c>
      <c r="E155" s="4">
        <v>10599.0</v>
      </c>
      <c r="F155" s="5" t="s">
        <v>51</v>
      </c>
      <c r="G155" s="8" t="s">
        <v>97</v>
      </c>
      <c r="H155" s="8" t="s">
        <v>298</v>
      </c>
      <c r="J155" s="7" t="s">
        <v>41</v>
      </c>
      <c r="L155" s="8" t="s">
        <v>274</v>
      </c>
      <c r="M155" s="6">
        <f t="shared" si="5"/>
        <v>0</v>
      </c>
      <c r="N155" s="9" t="s">
        <v>100</v>
      </c>
      <c r="O155" s="14" t="str">
        <f t="shared" si="3"/>
        <v>M</v>
      </c>
    </row>
    <row r="156" ht="15.75" customHeight="1">
      <c r="A156" s="26" t="s">
        <v>475</v>
      </c>
      <c r="B156" s="27" t="str">
        <f t="shared" ref="B156:B190" si="6">E156</f>
        <v>G</v>
      </c>
      <c r="D156" s="28" t="s">
        <v>476</v>
      </c>
      <c r="E156" s="8" t="s">
        <v>51</v>
      </c>
      <c r="F156" s="5"/>
      <c r="J156" s="29"/>
      <c r="N156" s="30"/>
      <c r="O156" s="14"/>
    </row>
    <row r="157" ht="15.75" customHeight="1">
      <c r="A157" s="26" t="s">
        <v>477</v>
      </c>
      <c r="B157" s="27" t="str">
        <f t="shared" si="6"/>
        <v>G</v>
      </c>
      <c r="D157" s="28" t="s">
        <v>478</v>
      </c>
      <c r="E157" s="8" t="s">
        <v>51</v>
      </c>
      <c r="F157" s="15"/>
      <c r="J157" s="29"/>
      <c r="N157" s="30"/>
      <c r="O157" s="14"/>
    </row>
    <row r="158" ht="15.75" hidden="1" customHeight="1">
      <c r="A158" s="26" t="s">
        <v>479</v>
      </c>
      <c r="B158" s="27" t="str">
        <f t="shared" si="6"/>
        <v>M</v>
      </c>
      <c r="D158" s="28" t="s">
        <v>480</v>
      </c>
      <c r="E158" s="8" t="s">
        <v>100</v>
      </c>
      <c r="F158" s="15"/>
      <c r="J158" s="29"/>
      <c r="N158" s="30"/>
      <c r="O158" s="14"/>
    </row>
    <row r="159" ht="15.75" hidden="1" customHeight="1">
      <c r="A159" s="26" t="s">
        <v>481</v>
      </c>
      <c r="B159" s="27" t="str">
        <f t="shared" si="6"/>
        <v>E</v>
      </c>
      <c r="D159" s="28" t="s">
        <v>482</v>
      </c>
      <c r="E159" s="8" t="s">
        <v>15</v>
      </c>
      <c r="F159" s="15"/>
      <c r="J159" s="29"/>
      <c r="N159" s="30"/>
      <c r="O159" s="14"/>
    </row>
    <row r="160" ht="15.75" hidden="1" customHeight="1">
      <c r="A160" s="26" t="s">
        <v>483</v>
      </c>
      <c r="B160" s="27" t="str">
        <f t="shared" si="6"/>
        <v>M</v>
      </c>
      <c r="D160" s="28" t="s">
        <v>484</v>
      </c>
      <c r="E160" s="8" t="s">
        <v>100</v>
      </c>
      <c r="F160" s="15"/>
      <c r="J160" s="29"/>
      <c r="N160" s="30"/>
      <c r="O160" s="14"/>
    </row>
    <row r="161" ht="15.75" hidden="1" customHeight="1">
      <c r="A161" s="26" t="s">
        <v>485</v>
      </c>
      <c r="B161" s="27" t="str">
        <f t="shared" si="6"/>
        <v>I</v>
      </c>
      <c r="D161" s="28" t="s">
        <v>486</v>
      </c>
      <c r="E161" s="8" t="s">
        <v>64</v>
      </c>
      <c r="F161" s="15"/>
      <c r="J161" s="29"/>
      <c r="N161" s="30"/>
      <c r="O161" s="14"/>
    </row>
    <row r="162" ht="15.75" hidden="1" customHeight="1">
      <c r="A162" s="26" t="s">
        <v>487</v>
      </c>
      <c r="B162" s="27" t="str">
        <f t="shared" si="6"/>
        <v>I</v>
      </c>
      <c r="D162" s="28" t="s">
        <v>488</v>
      </c>
      <c r="E162" s="8" t="s">
        <v>64</v>
      </c>
      <c r="F162" s="15"/>
      <c r="J162" s="29"/>
      <c r="N162" s="30"/>
      <c r="O162" s="14"/>
    </row>
    <row r="163" ht="15.75" hidden="1" customHeight="1">
      <c r="A163" s="26" t="s">
        <v>489</v>
      </c>
      <c r="B163" s="27" t="str">
        <f t="shared" si="6"/>
        <v>M</v>
      </c>
      <c r="D163" s="28" t="s">
        <v>490</v>
      </c>
      <c r="E163" s="8" t="s">
        <v>100</v>
      </c>
      <c r="F163" s="15"/>
      <c r="J163" s="29"/>
      <c r="N163" s="30"/>
      <c r="O163" s="14"/>
    </row>
    <row r="164" ht="15.75" hidden="1" customHeight="1">
      <c r="A164" s="26" t="s">
        <v>491</v>
      </c>
      <c r="B164" s="27" t="str">
        <f t="shared" si="6"/>
        <v>S</v>
      </c>
      <c r="D164" s="28" t="s">
        <v>492</v>
      </c>
      <c r="E164" s="8" t="s">
        <v>41</v>
      </c>
      <c r="F164" s="15"/>
      <c r="J164" s="29"/>
      <c r="N164" s="30"/>
      <c r="O164" s="14"/>
    </row>
    <row r="165" ht="15.75" hidden="1" customHeight="1">
      <c r="A165" s="26" t="s">
        <v>493</v>
      </c>
      <c r="B165" s="27" t="str">
        <f t="shared" si="6"/>
        <v>I</v>
      </c>
      <c r="D165" s="28" t="s">
        <v>494</v>
      </c>
      <c r="E165" s="8" t="s">
        <v>64</v>
      </c>
      <c r="F165" s="15"/>
      <c r="J165" s="29"/>
      <c r="N165" s="30"/>
      <c r="O165" s="14"/>
    </row>
    <row r="166" ht="15.75" hidden="1" customHeight="1">
      <c r="A166" s="26" t="s">
        <v>495</v>
      </c>
      <c r="B166" s="27" t="str">
        <f t="shared" si="6"/>
        <v>M</v>
      </c>
      <c r="D166" s="28" t="s">
        <v>496</v>
      </c>
      <c r="E166" s="8" t="s">
        <v>100</v>
      </c>
      <c r="F166" s="15"/>
      <c r="J166" s="29"/>
      <c r="N166" s="30"/>
      <c r="O166" s="14"/>
    </row>
    <row r="167" ht="15.75" customHeight="1">
      <c r="A167" s="26" t="s">
        <v>497</v>
      </c>
      <c r="B167" s="27" t="str">
        <f t="shared" si="6"/>
        <v>G</v>
      </c>
      <c r="D167" s="28" t="s">
        <v>498</v>
      </c>
      <c r="E167" s="8" t="s">
        <v>51</v>
      </c>
      <c r="F167" s="15"/>
      <c r="J167" s="29"/>
      <c r="N167" s="30"/>
      <c r="O167" s="14"/>
    </row>
    <row r="168" ht="15.75" hidden="1" customHeight="1">
      <c r="A168" s="26" t="s">
        <v>499</v>
      </c>
      <c r="B168" s="27" t="str">
        <f t="shared" si="6"/>
        <v>I</v>
      </c>
      <c r="D168" s="28" t="s">
        <v>500</v>
      </c>
      <c r="E168" s="8" t="s">
        <v>64</v>
      </c>
      <c r="F168" s="15"/>
      <c r="J168" s="29"/>
      <c r="N168" s="30"/>
      <c r="O168" s="14"/>
    </row>
    <row r="169" ht="15.75" hidden="1" customHeight="1">
      <c r="A169" s="26" t="s">
        <v>501</v>
      </c>
      <c r="B169" s="27" t="str">
        <f t="shared" si="6"/>
        <v>S</v>
      </c>
      <c r="D169" s="28" t="s">
        <v>502</v>
      </c>
      <c r="E169" s="8" t="s">
        <v>41</v>
      </c>
      <c r="F169" s="15"/>
      <c r="J169" s="29"/>
      <c r="N169" s="30"/>
      <c r="O169" s="14"/>
    </row>
    <row r="170" ht="15.75" customHeight="1">
      <c r="A170" s="31" t="s">
        <v>503</v>
      </c>
      <c r="B170" s="27" t="str">
        <f t="shared" si="6"/>
        <v>G</v>
      </c>
      <c r="D170" s="32" t="s">
        <v>504</v>
      </c>
      <c r="E170" s="8" t="s">
        <v>51</v>
      </c>
      <c r="F170" s="15"/>
      <c r="J170" s="29"/>
      <c r="N170" s="30"/>
      <c r="O170" s="14"/>
    </row>
    <row r="171" ht="15.75" hidden="1" customHeight="1">
      <c r="A171" s="33" t="s">
        <v>505</v>
      </c>
      <c r="B171" s="27" t="str">
        <f t="shared" si="6"/>
        <v>E</v>
      </c>
      <c r="D171" s="34" t="s">
        <v>506</v>
      </c>
      <c r="E171" s="8" t="s">
        <v>15</v>
      </c>
      <c r="F171" s="15"/>
      <c r="J171" s="29"/>
      <c r="N171" s="30"/>
      <c r="O171" s="14"/>
    </row>
    <row r="172" ht="15.75" hidden="1" customHeight="1">
      <c r="A172" s="35" t="s">
        <v>507</v>
      </c>
      <c r="B172" s="27" t="str">
        <f t="shared" si="6"/>
        <v>E</v>
      </c>
      <c r="D172" s="36" t="s">
        <v>508</v>
      </c>
      <c r="E172" s="8" t="s">
        <v>15</v>
      </c>
      <c r="F172" s="15"/>
      <c r="J172" s="29"/>
      <c r="N172" s="30"/>
      <c r="O172" s="14"/>
    </row>
    <row r="173" ht="15.75" hidden="1" customHeight="1">
      <c r="A173" s="35" t="s">
        <v>509</v>
      </c>
      <c r="B173" s="27" t="str">
        <f t="shared" si="6"/>
        <v>M</v>
      </c>
      <c r="D173" s="37" t="s">
        <v>510</v>
      </c>
      <c r="E173" s="8" t="s">
        <v>100</v>
      </c>
      <c r="F173" s="15"/>
      <c r="J173" s="29"/>
      <c r="N173" s="30"/>
      <c r="O173" s="14"/>
    </row>
    <row r="174" ht="15.75" hidden="1" customHeight="1">
      <c r="A174" s="35" t="s">
        <v>511</v>
      </c>
      <c r="B174" s="27" t="str">
        <f t="shared" si="6"/>
        <v>S</v>
      </c>
      <c r="D174" s="37" t="s">
        <v>512</v>
      </c>
      <c r="E174" s="8" t="s">
        <v>41</v>
      </c>
      <c r="F174" s="15"/>
      <c r="J174" s="29"/>
      <c r="N174" s="30"/>
      <c r="O174" s="14"/>
    </row>
    <row r="175" ht="15.75" hidden="1" customHeight="1">
      <c r="A175" s="35" t="s">
        <v>513</v>
      </c>
      <c r="B175" s="27" t="str">
        <f t="shared" si="6"/>
        <v>M</v>
      </c>
      <c r="D175" s="38">
        <v>44205.0</v>
      </c>
      <c r="E175" s="8" t="s">
        <v>100</v>
      </c>
      <c r="F175" s="15"/>
      <c r="J175" s="29"/>
      <c r="N175" s="30"/>
      <c r="O175" s="14"/>
    </row>
    <row r="176" ht="15.75" hidden="1" customHeight="1">
      <c r="A176" s="33" t="s">
        <v>514</v>
      </c>
      <c r="B176" s="27" t="str">
        <f t="shared" si="6"/>
        <v>M</v>
      </c>
      <c r="D176" s="37" t="s">
        <v>515</v>
      </c>
      <c r="E176" s="8" t="s">
        <v>100</v>
      </c>
      <c r="F176" s="15"/>
      <c r="J176" s="29"/>
      <c r="N176" s="30"/>
      <c r="O176" s="14"/>
    </row>
    <row r="177" ht="15.75" hidden="1" customHeight="1">
      <c r="A177" s="33" t="s">
        <v>516</v>
      </c>
      <c r="B177" s="27" t="str">
        <f t="shared" si="6"/>
        <v>M</v>
      </c>
      <c r="D177" s="37" t="s">
        <v>517</v>
      </c>
      <c r="E177" s="8" t="s">
        <v>100</v>
      </c>
      <c r="F177" s="15"/>
      <c r="J177" s="29"/>
      <c r="N177" s="30"/>
      <c r="O177" s="14"/>
    </row>
    <row r="178" ht="15.75" hidden="1" customHeight="1">
      <c r="A178" s="39" t="s">
        <v>518</v>
      </c>
      <c r="B178" s="27" t="str">
        <f t="shared" si="6"/>
        <v>M</v>
      </c>
      <c r="D178" s="40">
        <v>44253.0</v>
      </c>
      <c r="E178" s="8" t="s">
        <v>100</v>
      </c>
      <c r="F178" s="15"/>
      <c r="J178" s="29"/>
      <c r="N178" s="30"/>
      <c r="O178" s="14"/>
    </row>
    <row r="179" ht="15.75" hidden="1" customHeight="1">
      <c r="A179" s="33" t="s">
        <v>519</v>
      </c>
      <c r="B179" s="27" t="str">
        <f t="shared" si="6"/>
        <v>M</v>
      </c>
      <c r="D179" s="37" t="s">
        <v>520</v>
      </c>
      <c r="E179" s="8" t="s">
        <v>100</v>
      </c>
      <c r="F179" s="15"/>
      <c r="J179" s="29"/>
      <c r="N179" s="30"/>
      <c r="O179" s="14"/>
    </row>
    <row r="180" ht="15.75" hidden="1" customHeight="1">
      <c r="A180" s="41" t="s">
        <v>521</v>
      </c>
      <c r="B180" s="27" t="str">
        <f t="shared" si="6"/>
        <v>E</v>
      </c>
      <c r="D180" s="37" t="s">
        <v>141</v>
      </c>
      <c r="E180" s="8" t="s">
        <v>15</v>
      </c>
      <c r="F180" s="15"/>
      <c r="J180" s="29"/>
      <c r="N180" s="30"/>
      <c r="O180" s="14"/>
    </row>
    <row r="181" ht="15.75" hidden="1" customHeight="1">
      <c r="A181" s="35" t="s">
        <v>522</v>
      </c>
      <c r="B181" s="27" t="str">
        <f t="shared" si="6"/>
        <v>S</v>
      </c>
      <c r="D181" s="37" t="s">
        <v>523</v>
      </c>
      <c r="E181" s="8" t="s">
        <v>41</v>
      </c>
      <c r="F181" s="15"/>
      <c r="J181" s="29"/>
      <c r="N181" s="30"/>
      <c r="O181" s="14"/>
    </row>
    <row r="182" ht="15.75" hidden="1" customHeight="1">
      <c r="A182" s="35" t="s">
        <v>524</v>
      </c>
      <c r="B182" s="27" t="str">
        <f t="shared" si="6"/>
        <v>M</v>
      </c>
      <c r="D182" s="37" t="s">
        <v>525</v>
      </c>
      <c r="E182" s="8" t="s">
        <v>100</v>
      </c>
      <c r="F182" s="15"/>
      <c r="J182" s="29"/>
      <c r="N182" s="30"/>
      <c r="O182" s="14"/>
    </row>
    <row r="183" ht="15.75" hidden="1" customHeight="1">
      <c r="A183" s="33" t="s">
        <v>526</v>
      </c>
      <c r="B183" s="27" t="str">
        <f t="shared" si="6"/>
        <v>E</v>
      </c>
      <c r="D183" s="37" t="s">
        <v>527</v>
      </c>
      <c r="E183" s="8" t="s">
        <v>15</v>
      </c>
      <c r="F183" s="15"/>
      <c r="J183" s="29"/>
      <c r="N183" s="30"/>
      <c r="O183" s="14"/>
    </row>
    <row r="184" ht="15.75" hidden="1" customHeight="1">
      <c r="A184" s="33" t="s">
        <v>528</v>
      </c>
      <c r="B184" s="27" t="str">
        <f t="shared" si="6"/>
        <v>I</v>
      </c>
      <c r="D184" s="37" t="s">
        <v>529</v>
      </c>
      <c r="E184" s="8" t="s">
        <v>64</v>
      </c>
      <c r="F184" s="15"/>
      <c r="J184" s="29"/>
      <c r="N184" s="30"/>
      <c r="O184" s="14"/>
    </row>
    <row r="185" ht="15.75" hidden="1" customHeight="1">
      <c r="A185" s="33" t="s">
        <v>530</v>
      </c>
      <c r="B185" s="27" t="str">
        <f t="shared" si="6"/>
        <v>I</v>
      </c>
      <c r="D185" s="37" t="s">
        <v>531</v>
      </c>
      <c r="E185" s="8" t="s">
        <v>64</v>
      </c>
      <c r="F185" s="15"/>
      <c r="J185" s="29"/>
      <c r="N185" s="30"/>
      <c r="O185" s="14"/>
    </row>
    <row r="186" ht="15.75" hidden="1" customHeight="1">
      <c r="A186" s="35" t="s">
        <v>532</v>
      </c>
      <c r="B186" s="27" t="str">
        <f t="shared" si="6"/>
        <v>M</v>
      </c>
      <c r="D186" s="37" t="s">
        <v>533</v>
      </c>
      <c r="E186" s="8" t="s">
        <v>100</v>
      </c>
      <c r="F186" s="15"/>
      <c r="J186" s="29"/>
      <c r="N186" s="30"/>
      <c r="O186" s="14"/>
    </row>
    <row r="187" ht="15.75" customHeight="1">
      <c r="A187" s="33" t="s">
        <v>534</v>
      </c>
      <c r="B187" s="27" t="str">
        <f t="shared" si="6"/>
        <v>G</v>
      </c>
      <c r="D187" s="37" t="s">
        <v>535</v>
      </c>
      <c r="E187" s="8" t="s">
        <v>51</v>
      </c>
      <c r="F187" s="15"/>
      <c r="J187" s="29"/>
      <c r="N187" s="30"/>
      <c r="O187" s="14"/>
    </row>
    <row r="188" ht="15.75" hidden="1" customHeight="1">
      <c r="A188" s="35" t="s">
        <v>536</v>
      </c>
      <c r="B188" s="27" t="str">
        <f t="shared" si="6"/>
        <v>M</v>
      </c>
      <c r="D188" s="37" t="s">
        <v>537</v>
      </c>
      <c r="E188" s="8" t="s">
        <v>100</v>
      </c>
      <c r="F188" s="15"/>
      <c r="J188" s="29"/>
      <c r="N188" s="30"/>
      <c r="O188" s="14"/>
    </row>
    <row r="189" ht="15.75" hidden="1" customHeight="1">
      <c r="A189" s="35" t="s">
        <v>538</v>
      </c>
      <c r="B189" s="27" t="str">
        <f t="shared" si="6"/>
        <v>E</v>
      </c>
      <c r="D189" s="37" t="s">
        <v>539</v>
      </c>
      <c r="E189" s="8" t="s">
        <v>15</v>
      </c>
      <c r="F189" s="15"/>
      <c r="J189" s="29"/>
      <c r="N189" s="30"/>
      <c r="O189" s="14"/>
    </row>
    <row r="190" ht="15.75" hidden="1" customHeight="1">
      <c r="A190" s="42" t="s">
        <v>540</v>
      </c>
      <c r="B190" s="27" t="str">
        <f t="shared" si="6"/>
        <v>M</v>
      </c>
      <c r="D190" s="43" t="s">
        <v>541</v>
      </c>
      <c r="E190" s="8" t="s">
        <v>100</v>
      </c>
      <c r="F190" s="15"/>
      <c r="J190" s="29"/>
      <c r="N190" s="30"/>
      <c r="O190" s="14"/>
    </row>
    <row r="191" ht="15.75" customHeight="1">
      <c r="A191" s="1"/>
      <c r="B191" s="44"/>
      <c r="D191" s="44"/>
      <c r="F191" s="15"/>
      <c r="J191" s="29"/>
      <c r="N191" s="30"/>
      <c r="O191" s="14"/>
    </row>
    <row r="192" ht="15.75" customHeight="1">
      <c r="A192" s="1"/>
      <c r="B192" s="44"/>
      <c r="D192" s="44"/>
      <c r="F192" s="15"/>
      <c r="J192" s="29"/>
      <c r="N192" s="30"/>
      <c r="O192" s="14"/>
    </row>
    <row r="193" ht="15.75" customHeight="1">
      <c r="A193" s="31" t="s">
        <v>356</v>
      </c>
      <c r="B193" s="32"/>
      <c r="D193" s="28" t="s">
        <v>542</v>
      </c>
      <c r="F193" s="15"/>
      <c r="J193" s="29"/>
      <c r="N193" s="30"/>
      <c r="O193" s="14"/>
    </row>
    <row r="194" ht="15.75" customHeight="1">
      <c r="A194" s="26" t="s">
        <v>543</v>
      </c>
      <c r="B194" s="28"/>
      <c r="D194" s="28" t="s">
        <v>544</v>
      </c>
      <c r="F194" s="15"/>
      <c r="J194" s="29"/>
      <c r="N194" s="30"/>
      <c r="O194" s="14"/>
    </row>
    <row r="195" ht="15.75" customHeight="1">
      <c r="A195" s="26" t="s">
        <v>545</v>
      </c>
      <c r="B195" s="28"/>
      <c r="D195" s="28" t="s">
        <v>546</v>
      </c>
      <c r="F195" s="15"/>
      <c r="J195" s="29"/>
      <c r="N195" s="30"/>
      <c r="O195" s="14"/>
    </row>
    <row r="196" ht="15.75" customHeight="1">
      <c r="A196" s="26" t="s">
        <v>547</v>
      </c>
      <c r="B196" s="28"/>
      <c r="D196" s="28" t="s">
        <v>548</v>
      </c>
      <c r="F196" s="15"/>
      <c r="J196" s="29"/>
      <c r="N196" s="30"/>
      <c r="O196" s="14"/>
    </row>
    <row r="197" ht="15.75" customHeight="1">
      <c r="A197" s="26" t="s">
        <v>549</v>
      </c>
      <c r="B197" s="28"/>
      <c r="D197" s="28" t="s">
        <v>550</v>
      </c>
      <c r="F197" s="15"/>
      <c r="J197" s="29"/>
      <c r="N197" s="30"/>
      <c r="O197" s="14"/>
    </row>
    <row r="198" ht="15.75" customHeight="1">
      <c r="A198" s="26" t="s">
        <v>551</v>
      </c>
      <c r="B198" s="28"/>
      <c r="D198" s="28" t="s">
        <v>552</v>
      </c>
      <c r="F198" s="15"/>
      <c r="J198" s="29"/>
      <c r="N198" s="30"/>
      <c r="O198" s="14"/>
    </row>
    <row r="199" ht="15.75" customHeight="1">
      <c r="A199" s="26" t="s">
        <v>553</v>
      </c>
      <c r="B199" s="28"/>
      <c r="D199" s="28" t="s">
        <v>554</v>
      </c>
      <c r="F199" s="15"/>
      <c r="J199" s="29"/>
      <c r="N199" s="30"/>
      <c r="O199" s="14"/>
    </row>
    <row r="200" ht="15.75" customHeight="1">
      <c r="A200" s="26" t="s">
        <v>555</v>
      </c>
      <c r="B200" s="28"/>
      <c r="D200" s="28" t="s">
        <v>556</v>
      </c>
      <c r="F200" s="15"/>
      <c r="J200" s="29"/>
      <c r="N200" s="30"/>
      <c r="O200" s="14"/>
    </row>
    <row r="201" ht="15.75" customHeight="1">
      <c r="A201" s="26" t="s">
        <v>557</v>
      </c>
      <c r="B201" s="28"/>
      <c r="D201" s="28" t="s">
        <v>558</v>
      </c>
      <c r="F201" s="15"/>
      <c r="J201" s="29"/>
      <c r="N201" s="30"/>
      <c r="O201" s="14"/>
    </row>
    <row r="202" ht="15.75" customHeight="1">
      <c r="A202" s="26" t="s">
        <v>559</v>
      </c>
      <c r="B202" s="28"/>
      <c r="D202" s="28" t="s">
        <v>560</v>
      </c>
      <c r="F202" s="15"/>
      <c r="J202" s="29"/>
      <c r="N202" s="30"/>
      <c r="O202" s="14"/>
    </row>
    <row r="203" ht="15.75" customHeight="1">
      <c r="A203" s="26" t="s">
        <v>561</v>
      </c>
      <c r="B203" s="28"/>
      <c r="D203" s="28" t="s">
        <v>562</v>
      </c>
      <c r="F203" s="15"/>
      <c r="J203" s="29"/>
      <c r="N203" s="30"/>
      <c r="O203" s="14"/>
    </row>
    <row r="204" ht="15.75" customHeight="1">
      <c r="A204" s="26" t="s">
        <v>563</v>
      </c>
      <c r="B204" s="28"/>
      <c r="D204" s="28" t="s">
        <v>564</v>
      </c>
      <c r="F204" s="15"/>
      <c r="J204" s="29"/>
      <c r="N204" s="30"/>
      <c r="O204" s="14"/>
    </row>
    <row r="205" ht="15.75" customHeight="1">
      <c r="A205" s="26" t="s">
        <v>565</v>
      </c>
      <c r="B205" s="28"/>
      <c r="D205" s="28" t="s">
        <v>566</v>
      </c>
      <c r="F205" s="15"/>
      <c r="J205" s="29"/>
      <c r="N205" s="30"/>
      <c r="O205" s="14"/>
    </row>
    <row r="206" ht="15.75" customHeight="1">
      <c r="A206" s="26" t="s">
        <v>567</v>
      </c>
      <c r="B206" s="28"/>
      <c r="D206" s="28" t="s">
        <v>568</v>
      </c>
      <c r="F206" s="15"/>
      <c r="J206" s="29"/>
      <c r="N206" s="30"/>
      <c r="O206" s="14"/>
    </row>
    <row r="207" ht="15.75" customHeight="1">
      <c r="A207" s="26" t="s">
        <v>569</v>
      </c>
      <c r="B207" s="28"/>
      <c r="D207" s="28" t="s">
        <v>570</v>
      </c>
      <c r="F207" s="15"/>
      <c r="J207" s="29"/>
      <c r="N207" s="30"/>
      <c r="O207" s="14"/>
    </row>
    <row r="208" ht="15.75" customHeight="1">
      <c r="A208" s="26" t="s">
        <v>571</v>
      </c>
      <c r="B208" s="28"/>
      <c r="D208" s="28" t="s">
        <v>572</v>
      </c>
      <c r="F208" s="15"/>
      <c r="J208" s="29"/>
      <c r="N208" s="30"/>
      <c r="O208" s="14"/>
    </row>
    <row r="209" ht="15.75" customHeight="1">
      <c r="A209" s="26" t="s">
        <v>573</v>
      </c>
      <c r="B209" s="28"/>
      <c r="D209" s="28" t="s">
        <v>574</v>
      </c>
      <c r="F209" s="15"/>
      <c r="J209" s="29"/>
      <c r="N209" s="30"/>
      <c r="O209" s="14"/>
    </row>
    <row r="210" ht="15.75" customHeight="1">
      <c r="A210" s="26" t="s">
        <v>575</v>
      </c>
      <c r="B210" s="28"/>
      <c r="D210" s="28" t="s">
        <v>576</v>
      </c>
      <c r="F210" s="15"/>
      <c r="J210" s="29"/>
      <c r="N210" s="30"/>
      <c r="O210" s="14"/>
    </row>
    <row r="211" ht="15.75" customHeight="1">
      <c r="A211" s="26" t="s">
        <v>577</v>
      </c>
      <c r="B211" s="28"/>
      <c r="D211" s="28" t="s">
        <v>578</v>
      </c>
      <c r="F211" s="15"/>
      <c r="J211" s="29"/>
      <c r="N211" s="30"/>
      <c r="O211" s="14"/>
    </row>
    <row r="212" ht="15.75" customHeight="1">
      <c r="A212" s="26" t="s">
        <v>579</v>
      </c>
      <c r="B212" s="28"/>
      <c r="D212" s="28" t="s">
        <v>580</v>
      </c>
      <c r="F212" s="15"/>
      <c r="J212" s="29"/>
      <c r="N212" s="30"/>
      <c r="O212" s="14"/>
    </row>
    <row r="213" ht="15.75" customHeight="1">
      <c r="A213" s="1"/>
      <c r="B213" s="44"/>
      <c r="C213" s="44"/>
      <c r="F213" s="15"/>
      <c r="J213" s="29"/>
      <c r="N213" s="30"/>
      <c r="O213" s="14"/>
    </row>
    <row r="214" ht="15.75" customHeight="1">
      <c r="A214" s="1"/>
      <c r="B214" s="44"/>
      <c r="C214" s="44"/>
      <c r="F214" s="15"/>
      <c r="J214" s="29"/>
      <c r="N214" s="30"/>
      <c r="O214" s="14"/>
    </row>
    <row r="215" ht="15.75" customHeight="1">
      <c r="A215" s="1"/>
      <c r="B215" s="44"/>
      <c r="C215" s="44"/>
      <c r="F215" s="15"/>
      <c r="J215" s="29"/>
      <c r="N215" s="30"/>
      <c r="O215" s="14"/>
    </row>
    <row r="216" ht="15.75" customHeight="1">
      <c r="A216" s="1"/>
      <c r="B216" s="44"/>
      <c r="C216" s="44"/>
      <c r="F216" s="15"/>
      <c r="J216" s="29"/>
      <c r="N216" s="30"/>
      <c r="O216" s="14"/>
    </row>
    <row r="217" ht="15.75" customHeight="1">
      <c r="A217" s="1"/>
      <c r="B217" s="44"/>
      <c r="C217" s="44"/>
      <c r="F217" s="15"/>
      <c r="J217" s="29"/>
      <c r="N217" s="30"/>
      <c r="O217" s="14"/>
    </row>
    <row r="218" ht="15.75" customHeight="1">
      <c r="A218" s="1"/>
      <c r="B218" s="44"/>
      <c r="C218" s="44"/>
      <c r="F218" s="15"/>
      <c r="J218" s="29"/>
      <c r="N218" s="30"/>
      <c r="O218" s="14"/>
    </row>
    <row r="219" ht="15.75" customHeight="1">
      <c r="A219" s="1"/>
      <c r="B219" s="44"/>
      <c r="C219" s="44"/>
      <c r="F219" s="15"/>
      <c r="J219" s="29"/>
      <c r="N219" s="30"/>
      <c r="O219" s="14"/>
    </row>
    <row r="220" ht="15.75" customHeight="1">
      <c r="A220" s="1"/>
      <c r="B220" s="44"/>
      <c r="C220" s="44"/>
      <c r="F220" s="15"/>
      <c r="J220" s="29"/>
      <c r="N220" s="30"/>
      <c r="O220" s="14"/>
    </row>
    <row r="221" ht="15.75" customHeight="1">
      <c r="A221" s="1"/>
      <c r="B221" s="44"/>
      <c r="C221" s="44"/>
      <c r="F221" s="15"/>
      <c r="J221" s="29"/>
      <c r="N221" s="30"/>
      <c r="O221" s="14"/>
    </row>
    <row r="222" ht="15.75" customHeight="1">
      <c r="A222" s="1"/>
      <c r="B222" s="44"/>
      <c r="C222" s="44"/>
      <c r="F222" s="15"/>
      <c r="J222" s="29"/>
      <c r="N222" s="30"/>
      <c r="O222" s="14"/>
    </row>
    <row r="223" ht="15.75" customHeight="1">
      <c r="A223" s="1"/>
      <c r="B223" s="44"/>
      <c r="C223" s="44"/>
      <c r="F223" s="15"/>
      <c r="J223" s="29"/>
      <c r="N223" s="30"/>
      <c r="O223" s="14"/>
    </row>
    <row r="224" ht="15.75" customHeight="1">
      <c r="A224" s="1"/>
      <c r="B224" s="44"/>
      <c r="C224" s="44"/>
      <c r="F224" s="15"/>
      <c r="J224" s="29"/>
      <c r="N224" s="30"/>
      <c r="O224" s="14"/>
    </row>
    <row r="225" ht="15.75" customHeight="1">
      <c r="A225" s="1"/>
      <c r="B225" s="44"/>
      <c r="C225" s="44"/>
      <c r="F225" s="15"/>
      <c r="J225" s="29"/>
      <c r="N225" s="30"/>
      <c r="O225" s="14"/>
    </row>
    <row r="226" ht="15.75" customHeight="1">
      <c r="A226" s="1"/>
      <c r="B226" s="44"/>
      <c r="C226" s="44"/>
      <c r="F226" s="15"/>
      <c r="J226" s="29"/>
      <c r="N226" s="30"/>
      <c r="O226" s="14"/>
    </row>
    <row r="227" ht="15.75" customHeight="1">
      <c r="A227" s="1"/>
      <c r="B227" s="44"/>
      <c r="C227" s="44"/>
      <c r="F227" s="15"/>
      <c r="J227" s="29"/>
      <c r="N227" s="30"/>
      <c r="O227" s="14"/>
    </row>
    <row r="228" ht="15.75" customHeight="1">
      <c r="A228" s="1"/>
      <c r="B228" s="44"/>
      <c r="C228" s="44"/>
      <c r="F228" s="15"/>
      <c r="J228" s="29"/>
      <c r="N228" s="30"/>
      <c r="O228" s="14"/>
    </row>
    <row r="229" ht="15.75" customHeight="1">
      <c r="A229" s="1"/>
      <c r="B229" s="44"/>
      <c r="C229" s="44"/>
      <c r="F229" s="15"/>
      <c r="J229" s="29"/>
      <c r="N229" s="30"/>
      <c r="O229" s="14"/>
    </row>
    <row r="230" ht="15.75" customHeight="1">
      <c r="A230" s="1"/>
      <c r="B230" s="44"/>
      <c r="C230" s="44"/>
      <c r="F230" s="15"/>
      <c r="J230" s="29"/>
      <c r="N230" s="30"/>
      <c r="O230" s="14"/>
    </row>
    <row r="231" ht="15.75" customHeight="1">
      <c r="A231" s="1"/>
      <c r="B231" s="44"/>
      <c r="C231" s="44"/>
      <c r="F231" s="15"/>
      <c r="J231" s="29"/>
      <c r="N231" s="30"/>
      <c r="O231" s="14"/>
    </row>
    <row r="232" ht="15.75" customHeight="1">
      <c r="A232" s="1"/>
      <c r="B232" s="44"/>
      <c r="C232" s="44"/>
      <c r="F232" s="15"/>
      <c r="J232" s="29"/>
      <c r="N232" s="30"/>
      <c r="O232" s="14"/>
    </row>
    <row r="233" ht="15.75" customHeight="1">
      <c r="A233" s="1"/>
      <c r="B233" s="44"/>
      <c r="C233" s="44"/>
      <c r="F233" s="15"/>
      <c r="J233" s="29"/>
      <c r="N233" s="30"/>
      <c r="O233" s="14"/>
    </row>
    <row r="234" ht="15.75" customHeight="1">
      <c r="A234" s="1"/>
      <c r="B234" s="44"/>
      <c r="C234" s="44"/>
      <c r="F234" s="15"/>
      <c r="J234" s="29"/>
      <c r="N234" s="30"/>
      <c r="O234" s="14"/>
    </row>
    <row r="235" ht="15.75" customHeight="1">
      <c r="A235" s="1"/>
      <c r="B235" s="44"/>
      <c r="C235" s="44"/>
      <c r="F235" s="15"/>
      <c r="J235" s="29"/>
      <c r="N235" s="30"/>
      <c r="O235" s="14"/>
    </row>
    <row r="236" ht="15.75" customHeight="1">
      <c r="A236" s="1"/>
      <c r="B236" s="44"/>
      <c r="C236" s="44"/>
      <c r="F236" s="15"/>
      <c r="J236" s="29"/>
      <c r="N236" s="30"/>
      <c r="O236" s="14"/>
    </row>
    <row r="237" ht="15.75" customHeight="1">
      <c r="A237" s="1"/>
      <c r="B237" s="44"/>
      <c r="C237" s="44"/>
      <c r="F237" s="15"/>
      <c r="J237" s="29"/>
      <c r="N237" s="30"/>
      <c r="O237" s="14"/>
    </row>
    <row r="238" ht="15.75" customHeight="1">
      <c r="A238" s="1"/>
      <c r="B238" s="44"/>
      <c r="C238" s="44"/>
      <c r="F238" s="15"/>
      <c r="J238" s="29"/>
      <c r="N238" s="30"/>
      <c r="O238" s="14"/>
    </row>
    <row r="239" ht="15.75" customHeight="1">
      <c r="A239" s="1"/>
      <c r="B239" s="44"/>
      <c r="C239" s="44"/>
      <c r="F239" s="15"/>
      <c r="J239" s="29"/>
      <c r="N239" s="30"/>
      <c r="O239" s="14"/>
    </row>
    <row r="240" ht="15.75" customHeight="1">
      <c r="A240" s="1"/>
      <c r="B240" s="44"/>
      <c r="C240" s="44"/>
      <c r="F240" s="15"/>
      <c r="J240" s="29"/>
      <c r="N240" s="30"/>
      <c r="O240" s="14"/>
    </row>
    <row r="241" ht="15.75" customHeight="1">
      <c r="A241" s="1"/>
      <c r="B241" s="44"/>
      <c r="C241" s="44"/>
      <c r="F241" s="15"/>
      <c r="J241" s="29"/>
      <c r="N241" s="30"/>
      <c r="O241" s="14"/>
    </row>
    <row r="242" ht="15.75" customHeight="1">
      <c r="A242" s="1"/>
      <c r="B242" s="44"/>
      <c r="C242" s="44"/>
      <c r="F242" s="15"/>
      <c r="J242" s="29"/>
      <c r="N242" s="30"/>
      <c r="O242" s="14"/>
    </row>
    <row r="243" ht="15.75" customHeight="1">
      <c r="A243" s="1"/>
      <c r="B243" s="44"/>
      <c r="C243" s="44"/>
      <c r="F243" s="15"/>
      <c r="J243" s="29"/>
      <c r="N243" s="30"/>
      <c r="O243" s="14"/>
    </row>
    <row r="244" ht="15.75" customHeight="1">
      <c r="A244" s="1"/>
      <c r="B244" s="44"/>
      <c r="C244" s="44"/>
      <c r="F244" s="15"/>
      <c r="J244" s="29"/>
      <c r="N244" s="30"/>
      <c r="O244" s="14"/>
    </row>
    <row r="245" ht="15.75" customHeight="1">
      <c r="A245" s="1"/>
      <c r="B245" s="44"/>
      <c r="C245" s="44"/>
      <c r="F245" s="15"/>
      <c r="J245" s="29"/>
      <c r="N245" s="30"/>
      <c r="O245" s="14"/>
    </row>
    <row r="246" ht="15.75" customHeight="1">
      <c r="A246" s="1"/>
      <c r="B246" s="44"/>
      <c r="C246" s="44"/>
      <c r="F246" s="15"/>
      <c r="J246" s="29"/>
      <c r="N246" s="30"/>
      <c r="O246" s="14"/>
    </row>
    <row r="247" ht="15.75" customHeight="1">
      <c r="A247" s="1"/>
      <c r="B247" s="44"/>
      <c r="C247" s="44"/>
      <c r="F247" s="15"/>
      <c r="J247" s="29"/>
      <c r="N247" s="30"/>
      <c r="O247" s="14"/>
    </row>
    <row r="248" ht="15.75" customHeight="1">
      <c r="A248" s="1"/>
      <c r="B248" s="44"/>
      <c r="C248" s="44"/>
      <c r="F248" s="15"/>
      <c r="J248" s="29"/>
      <c r="N248" s="30"/>
      <c r="O248" s="14"/>
    </row>
    <row r="249" ht="15.75" customHeight="1">
      <c r="A249" s="1"/>
      <c r="B249" s="44"/>
      <c r="C249" s="44"/>
      <c r="F249" s="15"/>
      <c r="J249" s="29"/>
      <c r="N249" s="30"/>
      <c r="O249" s="14"/>
    </row>
    <row r="250" ht="15.75" customHeight="1">
      <c r="A250" s="1"/>
      <c r="B250" s="44"/>
      <c r="C250" s="44"/>
      <c r="F250" s="15"/>
      <c r="J250" s="29"/>
      <c r="N250" s="30"/>
      <c r="O250" s="14"/>
    </row>
    <row r="251" ht="15.75" customHeight="1">
      <c r="A251" s="1"/>
      <c r="B251" s="44"/>
      <c r="C251" s="44"/>
      <c r="F251" s="15"/>
      <c r="J251" s="29"/>
      <c r="N251" s="30"/>
      <c r="O251" s="14"/>
    </row>
    <row r="252" ht="15.75" customHeight="1">
      <c r="A252" s="1"/>
      <c r="B252" s="44"/>
      <c r="C252" s="44"/>
      <c r="F252" s="15"/>
      <c r="J252" s="29"/>
      <c r="N252" s="30"/>
      <c r="O252" s="14"/>
    </row>
    <row r="253" ht="15.75" customHeight="1">
      <c r="A253" s="1"/>
      <c r="B253" s="44"/>
      <c r="C253" s="44"/>
      <c r="F253" s="15"/>
      <c r="J253" s="29"/>
      <c r="N253" s="30"/>
      <c r="O253" s="14"/>
    </row>
    <row r="254" ht="15.75" customHeight="1">
      <c r="A254" s="1"/>
      <c r="B254" s="44"/>
      <c r="C254" s="44"/>
      <c r="F254" s="15"/>
      <c r="J254" s="29"/>
      <c r="N254" s="30"/>
      <c r="O254" s="14"/>
    </row>
    <row r="255" ht="15.75" customHeight="1">
      <c r="A255" s="1"/>
      <c r="B255" s="44"/>
      <c r="C255" s="44"/>
      <c r="F255" s="15"/>
      <c r="J255" s="29"/>
      <c r="N255" s="30"/>
      <c r="O255" s="14"/>
    </row>
    <row r="256" ht="15.75" customHeight="1">
      <c r="A256" s="1"/>
      <c r="B256" s="44"/>
      <c r="C256" s="44"/>
      <c r="F256" s="15"/>
      <c r="J256" s="29"/>
      <c r="N256" s="30"/>
      <c r="O256" s="14"/>
    </row>
    <row r="257" ht="15.75" customHeight="1">
      <c r="A257" s="1"/>
      <c r="B257" s="44"/>
      <c r="C257" s="44"/>
      <c r="F257" s="15"/>
      <c r="J257" s="29"/>
      <c r="N257" s="30"/>
      <c r="O257" s="14"/>
    </row>
    <row r="258" ht="15.75" customHeight="1">
      <c r="A258" s="1"/>
      <c r="B258" s="44"/>
      <c r="C258" s="44"/>
      <c r="F258" s="15"/>
      <c r="J258" s="29"/>
      <c r="N258" s="30"/>
      <c r="O258" s="14"/>
    </row>
    <row r="259" ht="15.75" customHeight="1">
      <c r="A259" s="1"/>
      <c r="B259" s="44"/>
      <c r="C259" s="44"/>
      <c r="F259" s="15"/>
      <c r="J259" s="29"/>
      <c r="N259" s="30"/>
      <c r="O259" s="14"/>
    </row>
    <row r="260" ht="15.75" customHeight="1">
      <c r="A260" s="1"/>
      <c r="B260" s="44"/>
      <c r="C260" s="44"/>
      <c r="F260" s="15"/>
      <c r="J260" s="29"/>
      <c r="N260" s="30"/>
      <c r="O260" s="14"/>
    </row>
    <row r="261" ht="15.75" customHeight="1">
      <c r="A261" s="1"/>
      <c r="B261" s="44"/>
      <c r="C261" s="44"/>
      <c r="F261" s="15"/>
      <c r="J261" s="29"/>
      <c r="N261" s="30"/>
      <c r="O261" s="14"/>
    </row>
    <row r="262" ht="15.75" customHeight="1">
      <c r="A262" s="1"/>
      <c r="B262" s="44"/>
      <c r="C262" s="44"/>
      <c r="F262" s="15"/>
      <c r="J262" s="29"/>
      <c r="N262" s="30"/>
      <c r="O262" s="14"/>
    </row>
    <row r="263" ht="15.75" customHeight="1">
      <c r="A263" s="1"/>
      <c r="B263" s="44"/>
      <c r="C263" s="44"/>
      <c r="F263" s="15"/>
      <c r="J263" s="29"/>
      <c r="N263" s="30"/>
      <c r="O263" s="14"/>
    </row>
    <row r="264" ht="15.75" customHeight="1">
      <c r="A264" s="1"/>
      <c r="B264" s="44"/>
      <c r="C264" s="44"/>
      <c r="F264" s="15"/>
      <c r="J264" s="29"/>
      <c r="N264" s="30"/>
      <c r="O264" s="14"/>
    </row>
    <row r="265" ht="15.75" customHeight="1">
      <c r="A265" s="1"/>
      <c r="B265" s="44"/>
      <c r="C265" s="44"/>
      <c r="F265" s="15"/>
      <c r="J265" s="29"/>
      <c r="N265" s="30"/>
      <c r="O265" s="14"/>
    </row>
    <row r="266" ht="15.75" customHeight="1">
      <c r="A266" s="1"/>
      <c r="B266" s="44"/>
      <c r="C266" s="44"/>
      <c r="F266" s="15"/>
      <c r="J266" s="29"/>
      <c r="N266" s="30"/>
      <c r="O266" s="14"/>
    </row>
    <row r="267" ht="15.75" customHeight="1">
      <c r="A267" s="1"/>
      <c r="B267" s="44"/>
      <c r="C267" s="44"/>
      <c r="F267" s="15"/>
      <c r="J267" s="29"/>
      <c r="N267" s="30"/>
      <c r="O267" s="14"/>
    </row>
    <row r="268" ht="15.75" customHeight="1">
      <c r="A268" s="1"/>
      <c r="B268" s="44"/>
      <c r="C268" s="44"/>
      <c r="F268" s="15"/>
      <c r="J268" s="29"/>
      <c r="N268" s="30"/>
      <c r="O268" s="14"/>
    </row>
    <row r="269" ht="15.75" customHeight="1">
      <c r="A269" s="1"/>
      <c r="B269" s="44"/>
      <c r="C269" s="44"/>
      <c r="F269" s="15"/>
      <c r="J269" s="29"/>
      <c r="N269" s="30"/>
      <c r="O269" s="14"/>
    </row>
    <row r="270" ht="15.75" customHeight="1">
      <c r="A270" s="1"/>
      <c r="B270" s="44"/>
      <c r="C270" s="44"/>
      <c r="F270" s="15"/>
      <c r="J270" s="29"/>
      <c r="N270" s="30"/>
      <c r="O270" s="14"/>
    </row>
    <row r="271" ht="15.75" customHeight="1">
      <c r="A271" s="1"/>
      <c r="B271" s="44"/>
      <c r="C271" s="44"/>
      <c r="F271" s="15"/>
      <c r="J271" s="29"/>
      <c r="N271" s="30"/>
      <c r="O271" s="14"/>
    </row>
    <row r="272" ht="15.75" customHeight="1">
      <c r="A272" s="1"/>
      <c r="B272" s="44"/>
      <c r="C272" s="44"/>
      <c r="F272" s="15"/>
      <c r="J272" s="29"/>
      <c r="N272" s="30"/>
      <c r="O272" s="14"/>
    </row>
    <row r="273" ht="15.75" customHeight="1">
      <c r="A273" s="1"/>
      <c r="B273" s="44"/>
      <c r="C273" s="44"/>
      <c r="F273" s="15"/>
      <c r="J273" s="29"/>
      <c r="N273" s="30"/>
      <c r="O273" s="14"/>
    </row>
    <row r="274" ht="15.75" customHeight="1">
      <c r="A274" s="1"/>
      <c r="B274" s="44"/>
      <c r="C274" s="44"/>
      <c r="F274" s="15"/>
      <c r="J274" s="29"/>
      <c r="N274" s="30"/>
      <c r="O274" s="14"/>
    </row>
    <row r="275" ht="15.75" customHeight="1">
      <c r="A275" s="1"/>
      <c r="B275" s="44"/>
      <c r="C275" s="44"/>
      <c r="F275" s="15"/>
      <c r="J275" s="29"/>
      <c r="N275" s="30"/>
      <c r="O275" s="14"/>
    </row>
    <row r="276" ht="15.75" customHeight="1">
      <c r="A276" s="1"/>
      <c r="B276" s="44"/>
      <c r="C276" s="44"/>
      <c r="F276" s="15"/>
      <c r="J276" s="29"/>
      <c r="N276" s="30"/>
      <c r="O276" s="14"/>
    </row>
    <row r="277" ht="15.75" customHeight="1">
      <c r="A277" s="1"/>
      <c r="B277" s="44"/>
      <c r="C277" s="44"/>
      <c r="F277" s="15"/>
      <c r="J277" s="29"/>
      <c r="N277" s="30"/>
      <c r="O277" s="14"/>
    </row>
    <row r="278" ht="15.75" customHeight="1">
      <c r="A278" s="1"/>
      <c r="B278" s="44"/>
      <c r="C278" s="44"/>
      <c r="F278" s="15"/>
      <c r="J278" s="29"/>
      <c r="N278" s="30"/>
      <c r="O278" s="14"/>
    </row>
    <row r="279" ht="15.75" customHeight="1">
      <c r="A279" s="1"/>
      <c r="B279" s="44"/>
      <c r="C279" s="44"/>
      <c r="F279" s="15"/>
      <c r="J279" s="29"/>
      <c r="N279" s="30"/>
      <c r="O279" s="14"/>
    </row>
    <row r="280" ht="15.75" customHeight="1">
      <c r="A280" s="1"/>
      <c r="B280" s="44"/>
      <c r="C280" s="44"/>
      <c r="F280" s="15"/>
      <c r="J280" s="29"/>
      <c r="N280" s="30"/>
      <c r="O280" s="14"/>
    </row>
    <row r="281" ht="15.75" customHeight="1">
      <c r="A281" s="1"/>
      <c r="B281" s="44"/>
      <c r="C281" s="44"/>
      <c r="F281" s="15"/>
      <c r="J281" s="29"/>
      <c r="N281" s="30"/>
      <c r="O281" s="14"/>
    </row>
    <row r="282" ht="15.75" customHeight="1">
      <c r="A282" s="1"/>
      <c r="B282" s="44"/>
      <c r="C282" s="44"/>
      <c r="F282" s="15"/>
      <c r="J282" s="29"/>
      <c r="N282" s="30"/>
      <c r="O282" s="14"/>
    </row>
    <row r="283" ht="15.75" customHeight="1">
      <c r="A283" s="1"/>
      <c r="B283" s="44"/>
      <c r="C283" s="44"/>
      <c r="F283" s="15"/>
      <c r="J283" s="29"/>
      <c r="N283" s="30"/>
      <c r="O283" s="14"/>
    </row>
    <row r="284" ht="15.75" customHeight="1">
      <c r="A284" s="1"/>
      <c r="B284" s="44"/>
      <c r="C284" s="44"/>
      <c r="F284" s="15"/>
      <c r="J284" s="29"/>
      <c r="N284" s="30"/>
      <c r="O284" s="14"/>
    </row>
    <row r="285" ht="15.75" customHeight="1">
      <c r="A285" s="1"/>
      <c r="B285" s="44"/>
      <c r="C285" s="44"/>
      <c r="F285" s="15"/>
      <c r="J285" s="29"/>
      <c r="N285" s="30"/>
      <c r="O285" s="14"/>
    </row>
    <row r="286" ht="15.75" customHeight="1">
      <c r="A286" s="1"/>
      <c r="B286" s="44"/>
      <c r="C286" s="44"/>
      <c r="F286" s="15"/>
      <c r="J286" s="29"/>
      <c r="N286" s="30"/>
      <c r="O286" s="14"/>
    </row>
    <row r="287" ht="15.75" customHeight="1">
      <c r="A287" s="1"/>
      <c r="B287" s="44"/>
      <c r="C287" s="44"/>
      <c r="F287" s="15"/>
      <c r="J287" s="29"/>
      <c r="N287" s="30"/>
      <c r="O287" s="14"/>
    </row>
    <row r="288" ht="15.75" customHeight="1">
      <c r="A288" s="1"/>
      <c r="B288" s="44"/>
      <c r="C288" s="44"/>
      <c r="F288" s="15"/>
      <c r="J288" s="29"/>
      <c r="N288" s="30"/>
      <c r="O288" s="14"/>
    </row>
    <row r="289" ht="15.75" customHeight="1">
      <c r="A289" s="1"/>
      <c r="B289" s="44"/>
      <c r="C289" s="44"/>
      <c r="F289" s="15"/>
      <c r="J289" s="29"/>
      <c r="N289" s="30"/>
      <c r="O289" s="14"/>
    </row>
    <row r="290" ht="15.75" customHeight="1">
      <c r="A290" s="1"/>
      <c r="B290" s="44"/>
      <c r="C290" s="44"/>
      <c r="F290" s="15"/>
      <c r="J290" s="29"/>
      <c r="N290" s="30"/>
      <c r="O290" s="14"/>
    </row>
    <row r="291" ht="15.75" customHeight="1">
      <c r="A291" s="1"/>
      <c r="B291" s="44"/>
      <c r="C291" s="44"/>
      <c r="F291" s="15"/>
      <c r="J291" s="29"/>
      <c r="N291" s="30"/>
      <c r="O291" s="14"/>
    </row>
    <row r="292" ht="15.75" customHeight="1">
      <c r="A292" s="1"/>
      <c r="B292" s="44"/>
      <c r="C292" s="44"/>
      <c r="F292" s="15"/>
      <c r="J292" s="29"/>
      <c r="N292" s="30"/>
      <c r="O292" s="14"/>
    </row>
    <row r="293" ht="15.75" customHeight="1">
      <c r="A293" s="1"/>
      <c r="B293" s="44"/>
      <c r="C293" s="44"/>
      <c r="F293" s="15"/>
      <c r="J293" s="29"/>
      <c r="N293" s="30"/>
      <c r="O293" s="14"/>
    </row>
    <row r="294" ht="15.75" customHeight="1">
      <c r="A294" s="1"/>
      <c r="B294" s="44"/>
      <c r="C294" s="44"/>
      <c r="F294" s="15"/>
      <c r="J294" s="29"/>
      <c r="N294" s="30"/>
      <c r="O294" s="14"/>
    </row>
    <row r="295" ht="15.75" customHeight="1">
      <c r="A295" s="1"/>
      <c r="B295" s="44"/>
      <c r="C295" s="44"/>
      <c r="F295" s="15"/>
      <c r="J295" s="29"/>
      <c r="N295" s="30"/>
      <c r="O295" s="14"/>
    </row>
    <row r="296" ht="15.75" customHeight="1">
      <c r="A296" s="1"/>
      <c r="B296" s="44"/>
      <c r="C296" s="44"/>
      <c r="F296" s="15"/>
      <c r="J296" s="29"/>
      <c r="N296" s="30"/>
      <c r="O296" s="14"/>
    </row>
    <row r="297" ht="15.75" customHeight="1">
      <c r="A297" s="1"/>
      <c r="B297" s="44"/>
      <c r="C297" s="44"/>
      <c r="F297" s="15"/>
      <c r="J297" s="29"/>
      <c r="N297" s="30"/>
      <c r="O297" s="14"/>
    </row>
    <row r="298" ht="15.75" customHeight="1">
      <c r="A298" s="1"/>
      <c r="B298" s="44"/>
      <c r="C298" s="44"/>
      <c r="F298" s="15"/>
      <c r="J298" s="29"/>
      <c r="N298" s="30"/>
      <c r="O298" s="14"/>
    </row>
    <row r="299" ht="15.75" customHeight="1">
      <c r="A299" s="1"/>
      <c r="B299" s="44"/>
      <c r="C299" s="44"/>
      <c r="F299" s="15"/>
      <c r="J299" s="29"/>
      <c r="N299" s="30"/>
      <c r="O299" s="14"/>
    </row>
    <row r="300" ht="15.75" customHeight="1">
      <c r="A300" s="1"/>
      <c r="B300" s="44"/>
      <c r="C300" s="44"/>
      <c r="F300" s="15"/>
      <c r="J300" s="29"/>
      <c r="N300" s="30"/>
      <c r="O300" s="14"/>
    </row>
    <row r="301" ht="15.75" customHeight="1">
      <c r="A301" s="1"/>
      <c r="B301" s="44"/>
      <c r="C301" s="44"/>
      <c r="F301" s="15"/>
      <c r="J301" s="29"/>
      <c r="N301" s="30"/>
      <c r="O301" s="14"/>
    </row>
    <row r="302" ht="15.75" customHeight="1">
      <c r="A302" s="1"/>
      <c r="B302" s="44"/>
      <c r="C302" s="44"/>
      <c r="F302" s="15"/>
      <c r="J302" s="29"/>
      <c r="N302" s="30"/>
      <c r="O302" s="14"/>
    </row>
    <row r="303" ht="15.75" customHeight="1">
      <c r="A303" s="1"/>
      <c r="B303" s="44"/>
      <c r="C303" s="44"/>
      <c r="F303" s="15"/>
      <c r="J303" s="29"/>
      <c r="N303" s="30"/>
      <c r="O303" s="14"/>
    </row>
    <row r="304" ht="15.75" customHeight="1">
      <c r="A304" s="1"/>
      <c r="B304" s="44"/>
      <c r="C304" s="44"/>
      <c r="F304" s="15"/>
      <c r="J304" s="29"/>
      <c r="N304" s="30"/>
      <c r="O304" s="14"/>
    </row>
    <row r="305" ht="15.75" customHeight="1">
      <c r="A305" s="1"/>
      <c r="B305" s="44"/>
      <c r="C305" s="44"/>
      <c r="F305" s="15"/>
      <c r="J305" s="29"/>
      <c r="N305" s="30"/>
      <c r="O305" s="14"/>
    </row>
    <row r="306" ht="15.75" customHeight="1">
      <c r="A306" s="1"/>
      <c r="B306" s="44"/>
      <c r="C306" s="44"/>
      <c r="F306" s="15"/>
      <c r="J306" s="29"/>
      <c r="N306" s="30"/>
      <c r="O306" s="14"/>
    </row>
    <row r="307" ht="15.75" customHeight="1">
      <c r="A307" s="1"/>
      <c r="B307" s="44"/>
      <c r="C307" s="44"/>
      <c r="F307" s="15"/>
      <c r="J307" s="29"/>
      <c r="N307" s="30"/>
      <c r="O307" s="14"/>
    </row>
    <row r="308" ht="15.75" customHeight="1">
      <c r="A308" s="1"/>
      <c r="B308" s="44"/>
      <c r="C308" s="44"/>
      <c r="F308" s="15"/>
      <c r="J308" s="29"/>
      <c r="N308" s="30"/>
      <c r="O308" s="14"/>
    </row>
    <row r="309" ht="15.75" customHeight="1">
      <c r="A309" s="1"/>
      <c r="B309" s="44"/>
      <c r="C309" s="44"/>
      <c r="F309" s="15"/>
      <c r="J309" s="29"/>
      <c r="N309" s="30"/>
      <c r="O309" s="14"/>
    </row>
    <row r="310" ht="15.75" customHeight="1">
      <c r="A310" s="1"/>
      <c r="B310" s="44"/>
      <c r="C310" s="44"/>
      <c r="F310" s="15"/>
      <c r="J310" s="29"/>
      <c r="N310" s="30"/>
      <c r="O310" s="14"/>
    </row>
    <row r="311" ht="15.75" customHeight="1">
      <c r="A311" s="1"/>
      <c r="B311" s="44"/>
      <c r="C311" s="44"/>
      <c r="F311" s="15"/>
      <c r="J311" s="29"/>
      <c r="N311" s="30"/>
      <c r="O311" s="14"/>
    </row>
    <row r="312" ht="15.75" customHeight="1">
      <c r="A312" s="1"/>
      <c r="B312" s="44"/>
      <c r="C312" s="44"/>
      <c r="F312" s="15"/>
      <c r="J312" s="29"/>
      <c r="N312" s="30"/>
      <c r="O312" s="14"/>
    </row>
    <row r="313" ht="15.75" customHeight="1">
      <c r="A313" s="1"/>
      <c r="B313" s="44"/>
      <c r="C313" s="44"/>
      <c r="F313" s="15"/>
      <c r="J313" s="29"/>
      <c r="N313" s="30"/>
      <c r="O313" s="14"/>
    </row>
    <row r="314" ht="15.75" customHeight="1">
      <c r="A314" s="1"/>
      <c r="B314" s="44"/>
      <c r="C314" s="44"/>
      <c r="F314" s="15"/>
      <c r="J314" s="29"/>
      <c r="N314" s="30"/>
      <c r="O314" s="14"/>
    </row>
    <row r="315" ht="15.75" customHeight="1">
      <c r="A315" s="1"/>
      <c r="B315" s="44"/>
      <c r="C315" s="44"/>
      <c r="F315" s="15"/>
      <c r="J315" s="29"/>
      <c r="N315" s="30"/>
      <c r="O315" s="14"/>
    </row>
    <row r="316" ht="15.75" customHeight="1">
      <c r="A316" s="1"/>
      <c r="B316" s="44"/>
      <c r="C316" s="44"/>
      <c r="F316" s="15"/>
      <c r="J316" s="29"/>
      <c r="N316" s="30"/>
      <c r="O316" s="14"/>
    </row>
    <row r="317" ht="15.75" customHeight="1">
      <c r="A317" s="1"/>
      <c r="B317" s="44"/>
      <c r="C317" s="44"/>
      <c r="F317" s="15"/>
      <c r="J317" s="29"/>
      <c r="N317" s="30"/>
      <c r="O317" s="14"/>
    </row>
    <row r="318" ht="15.75" customHeight="1">
      <c r="A318" s="1"/>
      <c r="B318" s="44"/>
      <c r="C318" s="44"/>
      <c r="F318" s="15"/>
      <c r="J318" s="29"/>
      <c r="N318" s="30"/>
      <c r="O318" s="14"/>
    </row>
    <row r="319" ht="15.75" customHeight="1">
      <c r="A319" s="1"/>
      <c r="B319" s="44"/>
      <c r="C319" s="44"/>
      <c r="F319" s="15"/>
      <c r="J319" s="29"/>
      <c r="N319" s="30"/>
      <c r="O319" s="14"/>
    </row>
    <row r="320" ht="15.75" customHeight="1">
      <c r="A320" s="1"/>
      <c r="B320" s="44"/>
      <c r="C320" s="44"/>
      <c r="F320" s="15"/>
      <c r="J320" s="29"/>
      <c r="N320" s="30"/>
      <c r="O320" s="14"/>
    </row>
    <row r="321" ht="15.75" customHeight="1">
      <c r="A321" s="1"/>
      <c r="B321" s="44"/>
      <c r="C321" s="44"/>
      <c r="F321" s="15"/>
      <c r="J321" s="29"/>
      <c r="N321" s="30"/>
      <c r="O321" s="14"/>
    </row>
    <row r="322" ht="15.75" customHeight="1">
      <c r="A322" s="1"/>
      <c r="B322" s="44"/>
      <c r="C322" s="44"/>
      <c r="F322" s="15"/>
      <c r="J322" s="29"/>
      <c r="N322" s="30"/>
      <c r="O322" s="14"/>
    </row>
    <row r="323" ht="15.75" customHeight="1">
      <c r="A323" s="1"/>
      <c r="B323" s="44"/>
      <c r="C323" s="44"/>
      <c r="F323" s="15"/>
      <c r="J323" s="29"/>
      <c r="N323" s="30"/>
      <c r="O323" s="14"/>
    </row>
    <row r="324" ht="15.75" customHeight="1">
      <c r="A324" s="1"/>
      <c r="B324" s="44"/>
      <c r="C324" s="44"/>
      <c r="F324" s="15"/>
      <c r="J324" s="29"/>
      <c r="N324" s="30"/>
      <c r="O324" s="14"/>
    </row>
    <row r="325" ht="15.75" customHeight="1">
      <c r="A325" s="1"/>
      <c r="B325" s="44"/>
      <c r="C325" s="44"/>
      <c r="F325" s="15"/>
      <c r="J325" s="29"/>
      <c r="N325" s="30"/>
      <c r="O325" s="14"/>
    </row>
    <row r="326" ht="15.75" customHeight="1">
      <c r="A326" s="1"/>
      <c r="B326" s="44"/>
      <c r="C326" s="44"/>
      <c r="F326" s="15"/>
      <c r="J326" s="29"/>
      <c r="N326" s="30"/>
      <c r="O326" s="14"/>
    </row>
    <row r="327" ht="15.75" customHeight="1">
      <c r="A327" s="1"/>
      <c r="B327" s="44"/>
      <c r="C327" s="44"/>
      <c r="F327" s="15"/>
      <c r="J327" s="29"/>
      <c r="N327" s="30"/>
      <c r="O327" s="14"/>
    </row>
    <row r="328" ht="15.75" customHeight="1">
      <c r="A328" s="1"/>
      <c r="B328" s="44"/>
      <c r="C328" s="44"/>
      <c r="F328" s="15"/>
      <c r="J328" s="29"/>
      <c r="N328" s="30"/>
      <c r="O328" s="14"/>
    </row>
    <row r="329" ht="15.75" customHeight="1">
      <c r="A329" s="1"/>
      <c r="B329" s="44"/>
      <c r="C329" s="44"/>
      <c r="F329" s="15"/>
      <c r="J329" s="29"/>
      <c r="N329" s="30"/>
      <c r="O329" s="14"/>
    </row>
    <row r="330" ht="15.75" customHeight="1">
      <c r="A330" s="1"/>
      <c r="B330" s="44"/>
      <c r="C330" s="44"/>
      <c r="F330" s="15"/>
      <c r="J330" s="29"/>
      <c r="N330" s="30"/>
      <c r="O330" s="14"/>
    </row>
    <row r="331" ht="15.75" customHeight="1">
      <c r="A331" s="1"/>
      <c r="B331" s="44"/>
      <c r="C331" s="44"/>
      <c r="F331" s="15"/>
      <c r="J331" s="29"/>
      <c r="N331" s="30"/>
      <c r="O331" s="14"/>
    </row>
    <row r="332" ht="15.75" customHeight="1">
      <c r="A332" s="1"/>
      <c r="B332" s="44"/>
      <c r="C332" s="44"/>
      <c r="F332" s="15"/>
      <c r="J332" s="29"/>
      <c r="N332" s="30"/>
      <c r="O332" s="14"/>
    </row>
    <row r="333" ht="15.75" customHeight="1">
      <c r="A333" s="1"/>
      <c r="B333" s="44"/>
      <c r="C333" s="44"/>
      <c r="F333" s="15"/>
      <c r="J333" s="29"/>
      <c r="N333" s="30"/>
      <c r="O333" s="14"/>
    </row>
    <row r="334" ht="15.75" customHeight="1">
      <c r="A334" s="1"/>
      <c r="B334" s="44"/>
      <c r="C334" s="44"/>
      <c r="F334" s="15"/>
      <c r="J334" s="29"/>
      <c r="N334" s="30"/>
      <c r="O334" s="14"/>
    </row>
    <row r="335" ht="15.75" customHeight="1">
      <c r="B335" s="44"/>
      <c r="C335" s="44"/>
      <c r="F335" s="15"/>
      <c r="J335" s="29"/>
      <c r="N335" s="30"/>
      <c r="O335" s="14"/>
    </row>
    <row r="336" ht="15.75" customHeight="1">
      <c r="B336" s="44"/>
      <c r="C336" s="44"/>
      <c r="F336" s="15"/>
      <c r="J336" s="29"/>
      <c r="N336" s="30"/>
      <c r="O336" s="14"/>
    </row>
    <row r="337" ht="15.75" customHeight="1">
      <c r="B337" s="44"/>
      <c r="C337" s="44"/>
      <c r="F337" s="15"/>
      <c r="J337" s="29"/>
      <c r="N337" s="30"/>
      <c r="O337" s="14"/>
    </row>
    <row r="338" ht="15.75" customHeight="1">
      <c r="B338" s="44"/>
      <c r="C338" s="44"/>
      <c r="F338" s="15"/>
      <c r="J338" s="29"/>
      <c r="N338" s="30"/>
      <c r="O338" s="14"/>
    </row>
    <row r="339" ht="15.75" customHeight="1">
      <c r="B339" s="44"/>
      <c r="C339" s="44"/>
      <c r="F339" s="15"/>
      <c r="J339" s="29"/>
      <c r="N339" s="30"/>
      <c r="O339" s="14"/>
    </row>
    <row r="340" ht="15.75" customHeight="1">
      <c r="B340" s="44"/>
      <c r="C340" s="44"/>
      <c r="F340" s="15"/>
      <c r="J340" s="29"/>
      <c r="N340" s="30"/>
      <c r="O340" s="14"/>
    </row>
    <row r="341" ht="15.75" customHeight="1">
      <c r="B341" s="44"/>
      <c r="C341" s="44"/>
      <c r="F341" s="15"/>
      <c r="J341" s="29"/>
      <c r="N341" s="30"/>
      <c r="O341" s="14"/>
    </row>
    <row r="342" ht="15.75" customHeight="1">
      <c r="B342" s="44"/>
      <c r="C342" s="44"/>
      <c r="F342" s="15"/>
      <c r="J342" s="29"/>
      <c r="N342" s="30"/>
      <c r="O342" s="14"/>
    </row>
    <row r="343" ht="15.75" customHeight="1">
      <c r="B343" s="44"/>
      <c r="C343" s="44"/>
      <c r="F343" s="15"/>
      <c r="J343" s="29"/>
      <c r="N343" s="30"/>
      <c r="O343" s="14"/>
    </row>
    <row r="344" ht="15.75" customHeight="1">
      <c r="B344" s="44"/>
      <c r="C344" s="44"/>
      <c r="F344" s="15"/>
      <c r="J344" s="29"/>
      <c r="N344" s="30"/>
      <c r="O344" s="14"/>
    </row>
    <row r="345" ht="15.75" customHeight="1">
      <c r="B345" s="44"/>
      <c r="C345" s="44"/>
      <c r="F345" s="15"/>
      <c r="J345" s="29"/>
      <c r="N345" s="30"/>
      <c r="O345" s="14"/>
    </row>
    <row r="346" ht="15.75" customHeight="1">
      <c r="B346" s="44"/>
      <c r="C346" s="44"/>
      <c r="F346" s="15"/>
      <c r="J346" s="29"/>
      <c r="N346" s="30"/>
      <c r="O346" s="14"/>
    </row>
    <row r="347" ht="15.75" customHeight="1">
      <c r="B347" s="44"/>
      <c r="C347" s="44"/>
      <c r="F347" s="15"/>
      <c r="J347" s="29"/>
      <c r="N347" s="30"/>
      <c r="O347" s="14"/>
    </row>
    <row r="348" ht="15.75" customHeight="1">
      <c r="B348" s="44"/>
      <c r="C348" s="44"/>
      <c r="F348" s="15"/>
      <c r="J348" s="29"/>
      <c r="N348" s="30"/>
      <c r="O348" s="14"/>
    </row>
    <row r="349" ht="15.75" customHeight="1">
      <c r="B349" s="44"/>
      <c r="C349" s="44"/>
      <c r="F349" s="15"/>
      <c r="J349" s="29"/>
      <c r="N349" s="30"/>
      <c r="O349" s="14"/>
    </row>
    <row r="350" ht="15.75" customHeight="1">
      <c r="B350" s="44"/>
      <c r="C350" s="44"/>
      <c r="F350" s="15"/>
      <c r="J350" s="29"/>
      <c r="N350" s="30"/>
      <c r="O350" s="14"/>
    </row>
    <row r="351" ht="15.75" customHeight="1">
      <c r="B351" s="44"/>
      <c r="C351" s="44"/>
      <c r="F351" s="15"/>
      <c r="J351" s="29"/>
      <c r="N351" s="30"/>
      <c r="O351" s="14"/>
    </row>
    <row r="352" ht="15.75" customHeight="1">
      <c r="B352" s="44"/>
      <c r="C352" s="44"/>
      <c r="F352" s="15"/>
      <c r="J352" s="29"/>
      <c r="N352" s="30"/>
      <c r="O352" s="14"/>
    </row>
    <row r="353" ht="15.75" customHeight="1">
      <c r="B353" s="44"/>
      <c r="C353" s="44"/>
      <c r="F353" s="15"/>
      <c r="J353" s="29"/>
      <c r="N353" s="30"/>
      <c r="O353" s="14"/>
    </row>
    <row r="354" ht="15.75" customHeight="1">
      <c r="B354" s="44"/>
      <c r="C354" s="44"/>
      <c r="F354" s="15"/>
      <c r="J354" s="29"/>
      <c r="N354" s="30"/>
      <c r="O354" s="14"/>
    </row>
    <row r="355" ht="15.75" customHeight="1">
      <c r="B355" s="44"/>
      <c r="C355" s="44"/>
      <c r="F355" s="15"/>
      <c r="J355" s="29"/>
      <c r="N355" s="30"/>
      <c r="O355" s="14"/>
    </row>
    <row r="356" ht="15.75" customHeight="1">
      <c r="B356" s="44"/>
      <c r="C356" s="44"/>
      <c r="F356" s="15"/>
      <c r="J356" s="29"/>
      <c r="N356" s="30"/>
      <c r="O356" s="14"/>
    </row>
    <row r="357" ht="15.75" customHeight="1">
      <c r="B357" s="44"/>
      <c r="C357" s="44"/>
      <c r="F357" s="15"/>
      <c r="J357" s="29"/>
      <c r="N357" s="30"/>
      <c r="O357" s="14"/>
    </row>
    <row r="358" ht="15.75" customHeight="1">
      <c r="B358" s="44"/>
      <c r="C358" s="44"/>
      <c r="F358" s="15"/>
      <c r="J358" s="29"/>
      <c r="N358" s="30"/>
      <c r="O358" s="14"/>
    </row>
    <row r="359" ht="15.75" customHeight="1">
      <c r="B359" s="44"/>
      <c r="C359" s="44"/>
      <c r="F359" s="15"/>
      <c r="J359" s="29"/>
      <c r="N359" s="30"/>
      <c r="O359" s="14"/>
    </row>
    <row r="360" ht="15.75" customHeight="1">
      <c r="B360" s="44"/>
      <c r="C360" s="44"/>
      <c r="F360" s="15"/>
      <c r="J360" s="29"/>
      <c r="N360" s="30"/>
      <c r="O360" s="14"/>
    </row>
    <row r="361" ht="15.75" customHeight="1">
      <c r="B361" s="44"/>
      <c r="C361" s="44"/>
      <c r="F361" s="15"/>
      <c r="J361" s="29"/>
      <c r="N361" s="30"/>
      <c r="O361" s="14"/>
    </row>
    <row r="362" ht="15.75" customHeight="1">
      <c r="B362" s="44"/>
      <c r="C362" s="44"/>
      <c r="F362" s="15"/>
      <c r="J362" s="29"/>
      <c r="N362" s="30"/>
      <c r="O362" s="14"/>
    </row>
    <row r="363" ht="15.75" customHeight="1">
      <c r="B363" s="44"/>
      <c r="C363" s="44"/>
      <c r="F363" s="15"/>
      <c r="J363" s="29"/>
      <c r="N363" s="30"/>
      <c r="O363" s="14"/>
    </row>
    <row r="364" ht="15.75" customHeight="1">
      <c r="B364" s="44"/>
      <c r="C364" s="44"/>
      <c r="F364" s="15"/>
      <c r="J364" s="29"/>
      <c r="N364" s="30"/>
      <c r="O364" s="14"/>
    </row>
    <row r="365" ht="15.75" customHeight="1">
      <c r="B365" s="44"/>
      <c r="C365" s="44"/>
      <c r="F365" s="15"/>
      <c r="J365" s="29"/>
      <c r="N365" s="30"/>
      <c r="O365" s="14"/>
    </row>
    <row r="366" ht="15.75" customHeight="1">
      <c r="B366" s="44"/>
      <c r="C366" s="44"/>
      <c r="F366" s="15"/>
      <c r="J366" s="29"/>
      <c r="N366" s="30"/>
      <c r="O366" s="14"/>
    </row>
    <row r="367" ht="15.75" customHeight="1">
      <c r="B367" s="44"/>
      <c r="C367" s="44"/>
      <c r="F367" s="15"/>
      <c r="J367" s="29"/>
      <c r="N367" s="30"/>
      <c r="O367" s="14"/>
    </row>
    <row r="368" ht="15.75" customHeight="1">
      <c r="B368" s="44"/>
      <c r="C368" s="44"/>
      <c r="F368" s="15"/>
      <c r="J368" s="29"/>
      <c r="N368" s="30"/>
      <c r="O368" s="14"/>
    </row>
    <row r="369" ht="15.75" customHeight="1">
      <c r="B369" s="44"/>
      <c r="C369" s="44"/>
      <c r="F369" s="15"/>
      <c r="J369" s="29"/>
      <c r="N369" s="30"/>
      <c r="O369" s="14"/>
    </row>
    <row r="370" ht="15.75" customHeight="1">
      <c r="B370" s="44"/>
      <c r="C370" s="44"/>
      <c r="F370" s="15"/>
      <c r="J370" s="29"/>
      <c r="N370" s="30"/>
      <c r="O370" s="14"/>
    </row>
    <row r="371" ht="15.75" customHeight="1">
      <c r="B371" s="44"/>
      <c r="C371" s="44"/>
      <c r="F371" s="15"/>
      <c r="J371" s="29"/>
      <c r="N371" s="30"/>
      <c r="O371" s="14"/>
    </row>
    <row r="372" ht="15.75" customHeight="1">
      <c r="B372" s="44"/>
      <c r="C372" s="44"/>
      <c r="F372" s="15"/>
      <c r="J372" s="29"/>
      <c r="N372" s="30"/>
      <c r="O372" s="14"/>
    </row>
    <row r="373" ht="15.75" customHeight="1">
      <c r="B373" s="44"/>
      <c r="C373" s="44"/>
      <c r="F373" s="15"/>
      <c r="J373" s="29"/>
      <c r="N373" s="30"/>
      <c r="O373" s="14"/>
    </row>
    <row r="374" ht="15.75" customHeight="1">
      <c r="B374" s="44"/>
      <c r="C374" s="44"/>
      <c r="F374" s="15"/>
      <c r="J374" s="29"/>
      <c r="N374" s="30"/>
      <c r="O374" s="14"/>
    </row>
    <row r="375" ht="15.75" customHeight="1">
      <c r="B375" s="44"/>
      <c r="C375" s="44"/>
      <c r="F375" s="15"/>
      <c r="J375" s="29"/>
      <c r="N375" s="30"/>
      <c r="O375" s="14"/>
    </row>
    <row r="376" ht="15.75" customHeight="1">
      <c r="B376" s="44"/>
      <c r="C376" s="44"/>
      <c r="F376" s="15"/>
      <c r="J376" s="29"/>
      <c r="N376" s="30"/>
      <c r="O376" s="14"/>
    </row>
    <row r="377" ht="15.75" customHeight="1">
      <c r="B377" s="44"/>
      <c r="C377" s="44"/>
      <c r="F377" s="15"/>
      <c r="J377" s="29"/>
      <c r="N377" s="30"/>
      <c r="O377" s="14"/>
    </row>
    <row r="378" ht="15.75" customHeight="1">
      <c r="B378" s="44"/>
      <c r="C378" s="44"/>
      <c r="F378" s="15"/>
      <c r="J378" s="29"/>
      <c r="N378" s="30"/>
      <c r="O378" s="14"/>
    </row>
    <row r="379" ht="15.75" customHeight="1">
      <c r="B379" s="44"/>
      <c r="C379" s="44"/>
      <c r="F379" s="15"/>
      <c r="J379" s="29"/>
      <c r="N379" s="30"/>
      <c r="O379" s="14"/>
    </row>
    <row r="380" ht="15.75" customHeight="1">
      <c r="B380" s="44"/>
      <c r="C380" s="44"/>
      <c r="F380" s="15"/>
      <c r="J380" s="29"/>
      <c r="N380" s="30"/>
      <c r="O380" s="14"/>
    </row>
    <row r="381" ht="15.75" customHeight="1">
      <c r="B381" s="44"/>
      <c r="C381" s="44"/>
      <c r="F381" s="15"/>
      <c r="J381" s="29"/>
      <c r="N381" s="30"/>
      <c r="O381" s="14"/>
    </row>
    <row r="382" ht="15.75" customHeight="1">
      <c r="B382" s="44"/>
      <c r="C382" s="44"/>
      <c r="F382" s="15"/>
      <c r="J382" s="29"/>
      <c r="N382" s="30"/>
      <c r="O382" s="14"/>
    </row>
    <row r="383" ht="15.75" customHeight="1">
      <c r="B383" s="44"/>
      <c r="C383" s="44"/>
      <c r="F383" s="15"/>
      <c r="J383" s="29"/>
      <c r="N383" s="30"/>
      <c r="O383" s="14"/>
    </row>
    <row r="384" ht="15.75" customHeight="1">
      <c r="B384" s="44"/>
      <c r="C384" s="44"/>
      <c r="F384" s="15"/>
      <c r="J384" s="29"/>
      <c r="N384" s="30"/>
      <c r="O384" s="14"/>
    </row>
    <row r="385" ht="15.75" customHeight="1">
      <c r="B385" s="44"/>
      <c r="C385" s="44"/>
      <c r="F385" s="15"/>
      <c r="J385" s="29"/>
      <c r="N385" s="30"/>
      <c r="O385" s="14"/>
    </row>
    <row r="386" ht="15.75" customHeight="1">
      <c r="B386" s="44"/>
      <c r="C386" s="44"/>
      <c r="F386" s="15"/>
      <c r="J386" s="29"/>
      <c r="N386" s="30"/>
      <c r="O386" s="14"/>
    </row>
    <row r="387" ht="15.75" customHeight="1">
      <c r="B387" s="44"/>
      <c r="C387" s="44"/>
      <c r="F387" s="15"/>
      <c r="J387" s="29"/>
      <c r="N387" s="30"/>
      <c r="O387" s="14"/>
    </row>
    <row r="388" ht="15.75" customHeight="1">
      <c r="B388" s="44"/>
      <c r="C388" s="44"/>
      <c r="F388" s="15"/>
      <c r="J388" s="29"/>
      <c r="N388" s="30"/>
      <c r="O388" s="14"/>
    </row>
    <row r="389" ht="15.75" customHeight="1">
      <c r="B389" s="44"/>
      <c r="C389" s="44"/>
      <c r="F389" s="15"/>
      <c r="J389" s="29"/>
      <c r="N389" s="30"/>
      <c r="O389" s="14"/>
    </row>
    <row r="390" ht="15.75" customHeight="1">
      <c r="B390" s="44"/>
      <c r="C390" s="44"/>
      <c r="F390" s="15"/>
      <c r="J390" s="29"/>
      <c r="N390" s="30"/>
      <c r="O390" s="14"/>
    </row>
    <row r="391" ht="15.75" customHeight="1">
      <c r="B391" s="44"/>
      <c r="C391" s="44"/>
      <c r="F391" s="15"/>
      <c r="J391" s="29"/>
      <c r="N391" s="30"/>
      <c r="O391" s="14"/>
    </row>
    <row r="392" ht="15.75" customHeight="1">
      <c r="B392" s="44"/>
      <c r="C392" s="44"/>
      <c r="F392" s="15"/>
      <c r="J392" s="29"/>
      <c r="N392" s="30"/>
      <c r="O392" s="14"/>
    </row>
    <row r="393" ht="15.75" customHeight="1">
      <c r="B393" s="44"/>
      <c r="C393" s="44"/>
      <c r="F393" s="15"/>
      <c r="J393" s="29"/>
      <c r="N393" s="30"/>
      <c r="O393" s="14"/>
    </row>
    <row r="394" ht="15.75" customHeight="1">
      <c r="B394" s="44"/>
      <c r="C394" s="44"/>
      <c r="F394" s="15"/>
      <c r="J394" s="29"/>
      <c r="N394" s="30"/>
      <c r="O394" s="14"/>
    </row>
    <row r="395" ht="15.75" customHeight="1">
      <c r="B395" s="44"/>
      <c r="C395" s="44"/>
      <c r="F395" s="15"/>
      <c r="J395" s="29"/>
      <c r="N395" s="30"/>
      <c r="O395" s="14"/>
    </row>
    <row r="396" ht="15.75" customHeight="1">
      <c r="B396" s="44"/>
      <c r="C396" s="44"/>
      <c r="F396" s="15"/>
      <c r="J396" s="29"/>
      <c r="N396" s="30"/>
      <c r="O396" s="14"/>
    </row>
    <row r="397" ht="15.75" customHeight="1">
      <c r="B397" s="44"/>
      <c r="C397" s="44"/>
      <c r="F397" s="15"/>
      <c r="J397" s="29"/>
      <c r="N397" s="30"/>
      <c r="O397" s="14"/>
    </row>
    <row r="398" ht="15.75" customHeight="1">
      <c r="B398" s="44"/>
      <c r="C398" s="44"/>
      <c r="F398" s="15"/>
      <c r="J398" s="29"/>
      <c r="N398" s="30"/>
      <c r="O398" s="14"/>
    </row>
    <row r="399" ht="15.75" customHeight="1">
      <c r="B399" s="44"/>
      <c r="C399" s="44"/>
      <c r="F399" s="15"/>
      <c r="J399" s="29"/>
      <c r="N399" s="30"/>
      <c r="O399" s="14"/>
    </row>
    <row r="400" ht="15.75" customHeight="1">
      <c r="B400" s="44"/>
      <c r="C400" s="44"/>
      <c r="F400" s="15"/>
      <c r="J400" s="29"/>
      <c r="N400" s="30"/>
      <c r="O400" s="14"/>
    </row>
    <row r="401" ht="15.75" customHeight="1">
      <c r="B401" s="44"/>
      <c r="C401" s="44"/>
      <c r="F401" s="15"/>
      <c r="J401" s="29"/>
      <c r="N401" s="30"/>
      <c r="O401" s="14"/>
    </row>
    <row r="402" ht="15.75" customHeight="1">
      <c r="B402" s="44"/>
      <c r="C402" s="44"/>
      <c r="F402" s="15"/>
      <c r="J402" s="29"/>
      <c r="N402" s="30"/>
      <c r="O402" s="14"/>
    </row>
    <row r="403" ht="15.75" customHeight="1">
      <c r="B403" s="44"/>
      <c r="C403" s="44"/>
      <c r="F403" s="15"/>
      <c r="J403" s="29"/>
      <c r="N403" s="30"/>
      <c r="O403" s="14"/>
    </row>
    <row r="404" ht="15.75" customHeight="1">
      <c r="B404" s="44"/>
      <c r="C404" s="44"/>
      <c r="F404" s="15"/>
      <c r="J404" s="29"/>
      <c r="N404" s="30"/>
      <c r="O404" s="14"/>
    </row>
    <row r="405" ht="15.75" customHeight="1">
      <c r="B405" s="44"/>
      <c r="C405" s="44"/>
      <c r="F405" s="15"/>
      <c r="J405" s="29"/>
      <c r="N405" s="30"/>
      <c r="O405" s="14"/>
    </row>
    <row r="406" ht="15.75" customHeight="1">
      <c r="B406" s="44"/>
      <c r="C406" s="44"/>
      <c r="F406" s="15"/>
      <c r="J406" s="29"/>
      <c r="N406" s="30"/>
      <c r="O406" s="14"/>
    </row>
    <row r="407" ht="15.75" customHeight="1">
      <c r="B407" s="44"/>
      <c r="C407" s="44"/>
      <c r="F407" s="15"/>
      <c r="J407" s="29"/>
      <c r="N407" s="30"/>
      <c r="O407" s="14"/>
    </row>
    <row r="408" ht="15.75" customHeight="1">
      <c r="B408" s="44"/>
      <c r="C408" s="44"/>
      <c r="F408" s="15"/>
      <c r="J408" s="29"/>
      <c r="N408" s="30"/>
      <c r="O408" s="14"/>
    </row>
    <row r="409" ht="15.75" customHeight="1">
      <c r="B409" s="44"/>
      <c r="C409" s="44"/>
      <c r="F409" s="15"/>
      <c r="J409" s="29"/>
      <c r="N409" s="30"/>
      <c r="O409" s="14"/>
    </row>
    <row r="410" ht="15.75" customHeight="1">
      <c r="B410" s="44"/>
      <c r="C410" s="44"/>
      <c r="F410" s="15"/>
      <c r="J410" s="29"/>
      <c r="N410" s="30"/>
      <c r="O410" s="14"/>
    </row>
    <row r="411" ht="15.75" customHeight="1">
      <c r="B411" s="44"/>
      <c r="C411" s="44"/>
      <c r="F411" s="15"/>
      <c r="J411" s="29"/>
      <c r="N411" s="30"/>
      <c r="O411" s="14"/>
    </row>
    <row r="412" ht="15.75" customHeight="1">
      <c r="B412" s="44"/>
      <c r="C412" s="44"/>
      <c r="F412" s="15"/>
      <c r="J412" s="29"/>
      <c r="N412" s="30"/>
      <c r="O412" s="14"/>
    </row>
    <row r="413" ht="15.75" customHeight="1">
      <c r="B413" s="44"/>
      <c r="C413" s="44"/>
      <c r="F413" s="15"/>
      <c r="J413" s="29"/>
      <c r="N413" s="30"/>
      <c r="O413" s="14"/>
    </row>
    <row r="414" ht="15.75" customHeight="1">
      <c r="B414" s="44"/>
      <c r="C414" s="44"/>
      <c r="F414" s="15"/>
      <c r="J414" s="29"/>
      <c r="N414" s="30"/>
      <c r="O414" s="14"/>
    </row>
    <row r="415" ht="15.75" customHeight="1">
      <c r="B415" s="44"/>
      <c r="C415" s="44"/>
      <c r="F415" s="15"/>
      <c r="J415" s="29"/>
      <c r="N415" s="30"/>
      <c r="O415" s="14"/>
    </row>
    <row r="416" ht="15.75" customHeight="1">
      <c r="B416" s="44"/>
      <c r="C416" s="44"/>
      <c r="F416" s="15"/>
      <c r="J416" s="29"/>
      <c r="N416" s="30"/>
      <c r="O416" s="14"/>
    </row>
    <row r="417" ht="15.75" customHeight="1">
      <c r="B417" s="44"/>
      <c r="C417" s="44"/>
      <c r="F417" s="15"/>
      <c r="J417" s="29"/>
      <c r="N417" s="30"/>
      <c r="O417" s="14"/>
    </row>
    <row r="418" ht="15.75" customHeight="1">
      <c r="B418" s="44"/>
      <c r="C418" s="44"/>
      <c r="F418" s="15"/>
      <c r="J418" s="29"/>
      <c r="N418" s="30"/>
      <c r="O418" s="14"/>
    </row>
    <row r="419" ht="15.75" customHeight="1">
      <c r="B419" s="44"/>
      <c r="C419" s="44"/>
      <c r="F419" s="15"/>
      <c r="J419" s="29"/>
      <c r="N419" s="30"/>
      <c r="O419" s="14"/>
    </row>
    <row r="420" ht="15.75" customHeight="1">
      <c r="B420" s="44"/>
      <c r="C420" s="44"/>
      <c r="F420" s="15"/>
      <c r="J420" s="29"/>
      <c r="N420" s="30"/>
      <c r="O420" s="14"/>
    </row>
    <row r="421" ht="15.75" customHeight="1">
      <c r="B421" s="44"/>
      <c r="C421" s="44"/>
      <c r="F421" s="15"/>
      <c r="J421" s="29"/>
      <c r="N421" s="30"/>
      <c r="O421" s="14"/>
    </row>
    <row r="422" ht="15.75" customHeight="1">
      <c r="B422" s="44"/>
      <c r="C422" s="44"/>
      <c r="F422" s="15"/>
      <c r="J422" s="29"/>
      <c r="N422" s="30"/>
      <c r="O422" s="14"/>
    </row>
    <row r="423" ht="15.75" customHeight="1">
      <c r="B423" s="44"/>
      <c r="C423" s="44"/>
      <c r="F423" s="15"/>
      <c r="J423" s="29"/>
      <c r="N423" s="30"/>
      <c r="O423" s="14"/>
    </row>
    <row r="424" ht="15.75" customHeight="1">
      <c r="B424" s="44"/>
      <c r="C424" s="44"/>
      <c r="F424" s="15"/>
      <c r="J424" s="29"/>
      <c r="N424" s="30"/>
      <c r="O424" s="14"/>
    </row>
    <row r="425" ht="15.75" customHeight="1">
      <c r="B425" s="44"/>
      <c r="C425" s="44"/>
      <c r="F425" s="15"/>
      <c r="J425" s="29"/>
      <c r="N425" s="30"/>
      <c r="O425" s="14"/>
    </row>
    <row r="426" ht="15.75" customHeight="1">
      <c r="B426" s="44"/>
      <c r="C426" s="44"/>
      <c r="F426" s="15"/>
      <c r="J426" s="29"/>
      <c r="N426" s="30"/>
      <c r="O426" s="14"/>
    </row>
    <row r="427" ht="15.75" customHeight="1">
      <c r="B427" s="44"/>
      <c r="C427" s="44"/>
      <c r="F427" s="15"/>
      <c r="J427" s="29"/>
      <c r="N427" s="30"/>
      <c r="O427" s="14"/>
    </row>
    <row r="428" ht="15.75" customHeight="1">
      <c r="B428" s="44"/>
      <c r="C428" s="44"/>
      <c r="F428" s="15"/>
      <c r="J428" s="29"/>
      <c r="N428" s="30"/>
      <c r="O428" s="14"/>
    </row>
    <row r="429" ht="15.75" customHeight="1">
      <c r="B429" s="44"/>
      <c r="C429" s="44"/>
      <c r="F429" s="15"/>
      <c r="J429" s="29"/>
      <c r="N429" s="30"/>
      <c r="O429" s="14"/>
    </row>
    <row r="430" ht="15.75" customHeight="1">
      <c r="B430" s="44"/>
      <c r="C430" s="44"/>
      <c r="F430" s="15"/>
      <c r="J430" s="29"/>
      <c r="N430" s="30"/>
      <c r="O430" s="14"/>
    </row>
    <row r="431" ht="15.75" customHeight="1">
      <c r="B431" s="44"/>
      <c r="C431" s="44"/>
      <c r="F431" s="15"/>
      <c r="J431" s="29"/>
      <c r="N431" s="30"/>
      <c r="O431" s="14"/>
    </row>
    <row r="432" ht="15.75" customHeight="1">
      <c r="B432" s="44"/>
      <c r="C432" s="44"/>
      <c r="F432" s="15"/>
      <c r="J432" s="29"/>
      <c r="N432" s="30"/>
      <c r="O432" s="14"/>
    </row>
    <row r="433" ht="15.75" customHeight="1">
      <c r="B433" s="44"/>
      <c r="C433" s="44"/>
      <c r="F433" s="15"/>
      <c r="J433" s="29"/>
      <c r="N433" s="30"/>
      <c r="O433" s="14"/>
    </row>
    <row r="434" ht="15.75" customHeight="1">
      <c r="B434" s="44"/>
      <c r="C434" s="44"/>
      <c r="F434" s="15"/>
      <c r="J434" s="29"/>
      <c r="N434" s="30"/>
      <c r="O434" s="14"/>
    </row>
    <row r="435" ht="15.75" customHeight="1">
      <c r="B435" s="44"/>
      <c r="C435" s="44"/>
      <c r="F435" s="15"/>
      <c r="J435" s="29"/>
      <c r="N435" s="30"/>
      <c r="O435" s="14"/>
    </row>
    <row r="436" ht="15.75" customHeight="1">
      <c r="B436" s="44"/>
      <c r="C436" s="44"/>
      <c r="F436" s="15"/>
      <c r="J436" s="29"/>
      <c r="N436" s="30"/>
      <c r="O436" s="14"/>
    </row>
    <row r="437" ht="15.75" customHeight="1">
      <c r="B437" s="44"/>
      <c r="C437" s="44"/>
      <c r="F437" s="15"/>
      <c r="J437" s="29"/>
      <c r="N437" s="30"/>
      <c r="O437" s="14"/>
    </row>
    <row r="438" ht="15.75" customHeight="1">
      <c r="B438" s="44"/>
      <c r="C438" s="44"/>
      <c r="F438" s="15"/>
      <c r="J438" s="29"/>
      <c r="N438" s="30"/>
      <c r="O438" s="14"/>
    </row>
    <row r="439" ht="15.75" customHeight="1">
      <c r="B439" s="44"/>
      <c r="C439" s="44"/>
      <c r="F439" s="15"/>
      <c r="J439" s="29"/>
      <c r="N439" s="30"/>
      <c r="O439" s="14"/>
    </row>
    <row r="440" ht="15.75" customHeight="1">
      <c r="B440" s="44"/>
      <c r="C440" s="44"/>
      <c r="F440" s="15"/>
      <c r="J440" s="29"/>
      <c r="N440" s="30"/>
      <c r="O440" s="14"/>
    </row>
    <row r="441" ht="15.75" customHeight="1">
      <c r="B441" s="44"/>
      <c r="C441" s="44"/>
      <c r="F441" s="15"/>
      <c r="J441" s="29"/>
      <c r="N441" s="30"/>
      <c r="O441" s="14"/>
    </row>
    <row r="442" ht="15.75" customHeight="1">
      <c r="B442" s="44"/>
      <c r="C442" s="44"/>
      <c r="F442" s="15"/>
      <c r="J442" s="29"/>
      <c r="N442" s="30"/>
      <c r="O442" s="14"/>
    </row>
    <row r="443" ht="15.75" customHeight="1">
      <c r="B443" s="44"/>
      <c r="C443" s="44"/>
      <c r="F443" s="15"/>
      <c r="J443" s="29"/>
      <c r="N443" s="30"/>
      <c r="O443" s="14"/>
    </row>
    <row r="444" ht="15.75" customHeight="1">
      <c r="B444" s="44"/>
      <c r="C444" s="44"/>
      <c r="F444" s="15"/>
      <c r="J444" s="29"/>
      <c r="N444" s="30"/>
      <c r="O444" s="14"/>
    </row>
    <row r="445" ht="15.75" customHeight="1">
      <c r="B445" s="44"/>
      <c r="C445" s="44"/>
      <c r="F445" s="15"/>
      <c r="J445" s="29"/>
      <c r="N445" s="30"/>
      <c r="O445" s="14"/>
    </row>
    <row r="446" ht="15.75" customHeight="1">
      <c r="B446" s="44"/>
      <c r="C446" s="44"/>
      <c r="F446" s="15"/>
      <c r="J446" s="29"/>
      <c r="N446" s="30"/>
      <c r="O446" s="14"/>
    </row>
    <row r="447" ht="15.75" customHeight="1">
      <c r="B447" s="44"/>
      <c r="C447" s="44"/>
      <c r="F447" s="15"/>
      <c r="J447" s="29"/>
      <c r="N447" s="30"/>
      <c r="O447" s="14"/>
    </row>
    <row r="448" ht="15.75" customHeight="1">
      <c r="B448" s="44"/>
      <c r="C448" s="44"/>
      <c r="F448" s="15"/>
      <c r="J448" s="29"/>
      <c r="N448" s="30"/>
      <c r="O448" s="14"/>
    </row>
    <row r="449" ht="15.75" customHeight="1">
      <c r="B449" s="44"/>
      <c r="C449" s="44"/>
      <c r="F449" s="15"/>
      <c r="J449" s="29"/>
      <c r="N449" s="30"/>
      <c r="O449" s="14"/>
    </row>
    <row r="450" ht="15.75" customHeight="1">
      <c r="B450" s="44"/>
      <c r="C450" s="44"/>
      <c r="F450" s="15"/>
      <c r="J450" s="29"/>
      <c r="N450" s="30"/>
      <c r="O450" s="14"/>
    </row>
    <row r="451" ht="15.75" customHeight="1">
      <c r="B451" s="44"/>
      <c r="C451" s="44"/>
      <c r="F451" s="15"/>
      <c r="J451" s="29"/>
      <c r="N451" s="30"/>
      <c r="O451" s="14"/>
    </row>
    <row r="452" ht="15.75" customHeight="1">
      <c r="B452" s="44"/>
      <c r="C452" s="44"/>
      <c r="F452" s="15"/>
      <c r="J452" s="29"/>
      <c r="N452" s="30"/>
      <c r="O452" s="14"/>
    </row>
    <row r="453" ht="15.75" customHeight="1">
      <c r="B453" s="44"/>
      <c r="C453" s="44"/>
      <c r="F453" s="15"/>
      <c r="J453" s="29"/>
      <c r="N453" s="30"/>
      <c r="O453" s="14"/>
    </row>
    <row r="454" ht="15.75" customHeight="1">
      <c r="B454" s="44"/>
      <c r="C454" s="44"/>
      <c r="F454" s="15"/>
      <c r="J454" s="29"/>
      <c r="N454" s="30"/>
      <c r="O454" s="14"/>
    </row>
    <row r="455" ht="15.75" customHeight="1">
      <c r="B455" s="44"/>
      <c r="C455" s="44"/>
      <c r="F455" s="15"/>
      <c r="J455" s="29"/>
      <c r="N455" s="30"/>
      <c r="O455" s="14"/>
    </row>
    <row r="456" ht="15.75" customHeight="1">
      <c r="B456" s="44"/>
      <c r="C456" s="44"/>
      <c r="F456" s="15"/>
      <c r="J456" s="29"/>
      <c r="N456" s="30"/>
      <c r="O456" s="14"/>
    </row>
    <row r="457" ht="15.75" customHeight="1">
      <c r="B457" s="44"/>
      <c r="C457" s="44"/>
      <c r="F457" s="15"/>
      <c r="J457" s="29"/>
      <c r="N457" s="30"/>
      <c r="O457" s="14"/>
    </row>
    <row r="458" ht="15.75" customHeight="1">
      <c r="B458" s="44"/>
      <c r="C458" s="44"/>
      <c r="F458" s="15"/>
      <c r="J458" s="29"/>
      <c r="N458" s="30"/>
      <c r="O458" s="14"/>
    </row>
    <row r="459" ht="15.75" customHeight="1">
      <c r="B459" s="44"/>
      <c r="C459" s="44"/>
      <c r="F459" s="15"/>
      <c r="J459" s="29"/>
      <c r="N459" s="30"/>
      <c r="O459" s="14"/>
    </row>
    <row r="460" ht="15.75" customHeight="1">
      <c r="B460" s="44"/>
      <c r="C460" s="44"/>
      <c r="F460" s="15"/>
      <c r="J460" s="29"/>
      <c r="N460" s="30"/>
      <c r="O460" s="14"/>
    </row>
    <row r="461" ht="15.75" customHeight="1">
      <c r="B461" s="44"/>
      <c r="C461" s="44"/>
      <c r="F461" s="15"/>
      <c r="J461" s="29"/>
      <c r="N461" s="30"/>
      <c r="O461" s="14"/>
    </row>
    <row r="462" ht="15.75" customHeight="1">
      <c r="B462" s="44"/>
      <c r="C462" s="44"/>
      <c r="F462" s="15"/>
      <c r="J462" s="29"/>
      <c r="N462" s="30"/>
      <c r="O462" s="14"/>
    </row>
    <row r="463" ht="15.75" customHeight="1">
      <c r="B463" s="44"/>
      <c r="C463" s="44"/>
      <c r="F463" s="15"/>
      <c r="J463" s="29"/>
      <c r="N463" s="30"/>
      <c r="O463" s="14"/>
    </row>
    <row r="464" ht="15.75" customHeight="1">
      <c r="B464" s="44"/>
      <c r="C464" s="44"/>
      <c r="F464" s="15"/>
      <c r="J464" s="29"/>
      <c r="N464" s="30"/>
      <c r="O464" s="14"/>
    </row>
    <row r="465" ht="15.75" customHeight="1">
      <c r="B465" s="44"/>
      <c r="C465" s="44"/>
      <c r="F465" s="15"/>
      <c r="J465" s="29"/>
      <c r="N465" s="30"/>
      <c r="O465" s="14"/>
    </row>
    <row r="466" ht="15.75" customHeight="1">
      <c r="B466" s="44"/>
      <c r="C466" s="44"/>
      <c r="F466" s="15"/>
      <c r="J466" s="29"/>
      <c r="N466" s="30"/>
      <c r="O466" s="14"/>
    </row>
    <row r="467" ht="15.75" customHeight="1">
      <c r="B467" s="44"/>
      <c r="C467" s="44"/>
      <c r="F467" s="15"/>
      <c r="J467" s="29"/>
      <c r="N467" s="30"/>
      <c r="O467" s="14"/>
    </row>
    <row r="468" ht="15.75" customHeight="1">
      <c r="B468" s="44"/>
      <c r="C468" s="44"/>
      <c r="F468" s="15"/>
      <c r="J468" s="29"/>
      <c r="N468" s="30"/>
      <c r="O468" s="14"/>
    </row>
    <row r="469" ht="15.75" customHeight="1">
      <c r="B469" s="44"/>
      <c r="C469" s="44"/>
      <c r="F469" s="15"/>
      <c r="J469" s="29"/>
      <c r="N469" s="30"/>
      <c r="O469" s="14"/>
    </row>
    <row r="470" ht="15.75" customHeight="1">
      <c r="B470" s="44"/>
      <c r="C470" s="44"/>
      <c r="F470" s="15"/>
      <c r="J470" s="29"/>
      <c r="N470" s="30"/>
      <c r="O470" s="14"/>
    </row>
    <row r="471" ht="15.75" customHeight="1">
      <c r="B471" s="44"/>
      <c r="C471" s="44"/>
      <c r="F471" s="15"/>
      <c r="J471" s="29"/>
      <c r="N471" s="30"/>
      <c r="O471" s="14"/>
    </row>
    <row r="472" ht="15.75" customHeight="1">
      <c r="B472" s="44"/>
      <c r="C472" s="44"/>
      <c r="F472" s="15"/>
      <c r="J472" s="29"/>
      <c r="N472" s="30"/>
      <c r="O472" s="14"/>
    </row>
    <row r="473" ht="15.75" customHeight="1">
      <c r="B473" s="44"/>
      <c r="C473" s="44"/>
      <c r="F473" s="15"/>
      <c r="J473" s="29"/>
      <c r="N473" s="30"/>
      <c r="O473" s="14"/>
    </row>
    <row r="474" ht="15.75" customHeight="1">
      <c r="B474" s="44"/>
      <c r="C474" s="44"/>
      <c r="F474" s="15"/>
      <c r="J474" s="29"/>
      <c r="N474" s="30"/>
      <c r="O474" s="14"/>
    </row>
    <row r="475" ht="15.75" customHeight="1">
      <c r="B475" s="44"/>
      <c r="C475" s="44"/>
      <c r="F475" s="15"/>
      <c r="J475" s="29"/>
      <c r="N475" s="30"/>
      <c r="O475" s="14"/>
    </row>
    <row r="476" ht="15.75" customHeight="1">
      <c r="B476" s="44"/>
      <c r="C476" s="44"/>
      <c r="F476" s="15"/>
      <c r="J476" s="29"/>
      <c r="N476" s="30"/>
      <c r="O476" s="14"/>
    </row>
    <row r="477" ht="15.75" customHeight="1">
      <c r="B477" s="44"/>
      <c r="C477" s="44"/>
      <c r="F477" s="15"/>
      <c r="J477" s="29"/>
      <c r="N477" s="30"/>
      <c r="O477" s="14"/>
    </row>
    <row r="478" ht="15.75" customHeight="1">
      <c r="B478" s="44"/>
      <c r="C478" s="44"/>
      <c r="F478" s="15"/>
      <c r="J478" s="29"/>
      <c r="N478" s="30"/>
      <c r="O478" s="14"/>
    </row>
    <row r="479" ht="15.75" customHeight="1">
      <c r="B479" s="44"/>
      <c r="C479" s="44"/>
      <c r="F479" s="15"/>
      <c r="J479" s="29"/>
      <c r="N479" s="30"/>
      <c r="O479" s="14"/>
    </row>
    <row r="480" ht="15.75" customHeight="1">
      <c r="B480" s="44"/>
      <c r="C480" s="44"/>
      <c r="F480" s="15"/>
      <c r="J480" s="29"/>
      <c r="N480" s="30"/>
      <c r="O480" s="14"/>
    </row>
    <row r="481" ht="15.75" customHeight="1">
      <c r="B481" s="44"/>
      <c r="C481" s="44"/>
      <c r="F481" s="15"/>
      <c r="J481" s="29"/>
      <c r="N481" s="30"/>
      <c r="O481" s="14"/>
    </row>
    <row r="482" ht="15.75" customHeight="1">
      <c r="B482" s="44"/>
      <c r="C482" s="44"/>
      <c r="F482" s="15"/>
      <c r="J482" s="29"/>
      <c r="N482" s="30"/>
      <c r="O482" s="14"/>
    </row>
    <row r="483" ht="15.75" customHeight="1">
      <c r="B483" s="44"/>
      <c r="C483" s="44"/>
      <c r="F483" s="15"/>
      <c r="J483" s="29"/>
      <c r="N483" s="30"/>
      <c r="O483" s="14"/>
    </row>
    <row r="484" ht="15.75" customHeight="1">
      <c r="B484" s="44"/>
      <c r="C484" s="44"/>
      <c r="F484" s="15"/>
      <c r="J484" s="29"/>
      <c r="N484" s="30"/>
      <c r="O484" s="14"/>
    </row>
    <row r="485" ht="15.75" customHeight="1">
      <c r="B485" s="44"/>
      <c r="C485" s="44"/>
      <c r="F485" s="15"/>
      <c r="J485" s="29"/>
      <c r="N485" s="30"/>
      <c r="O485" s="14"/>
    </row>
    <row r="486" ht="15.75" customHeight="1">
      <c r="B486" s="44"/>
      <c r="C486" s="44"/>
      <c r="F486" s="15"/>
      <c r="J486" s="29"/>
      <c r="N486" s="30"/>
      <c r="O486" s="14"/>
    </row>
    <row r="487" ht="15.75" customHeight="1">
      <c r="B487" s="44"/>
      <c r="C487" s="44"/>
      <c r="F487" s="15"/>
      <c r="J487" s="29"/>
      <c r="N487" s="30"/>
      <c r="O487" s="14"/>
    </row>
    <row r="488" ht="15.75" customHeight="1">
      <c r="B488" s="44"/>
      <c r="C488" s="44"/>
      <c r="F488" s="15"/>
      <c r="J488" s="29"/>
      <c r="N488" s="30"/>
      <c r="O488" s="14"/>
    </row>
    <row r="489" ht="15.75" customHeight="1">
      <c r="B489" s="44"/>
      <c r="C489" s="44"/>
      <c r="F489" s="15"/>
      <c r="J489" s="29"/>
      <c r="N489" s="30"/>
      <c r="O489" s="14"/>
    </row>
    <row r="490" ht="15.75" customHeight="1">
      <c r="B490" s="44"/>
      <c r="C490" s="44"/>
      <c r="F490" s="15"/>
      <c r="J490" s="29"/>
      <c r="N490" s="30"/>
      <c r="O490" s="14"/>
    </row>
    <row r="491" ht="15.75" customHeight="1">
      <c r="B491" s="44"/>
      <c r="C491" s="44"/>
      <c r="F491" s="15"/>
      <c r="J491" s="29"/>
      <c r="N491" s="30"/>
      <c r="O491" s="14"/>
    </row>
    <row r="492" ht="15.75" customHeight="1">
      <c r="B492" s="44"/>
      <c r="C492" s="44"/>
      <c r="F492" s="15"/>
      <c r="J492" s="29"/>
      <c r="N492" s="30"/>
      <c r="O492" s="14"/>
    </row>
    <row r="493" ht="15.75" customHeight="1">
      <c r="B493" s="44"/>
      <c r="C493" s="44"/>
      <c r="F493" s="15"/>
      <c r="J493" s="29"/>
      <c r="N493" s="30"/>
      <c r="O493" s="14"/>
    </row>
    <row r="494" ht="15.75" customHeight="1">
      <c r="B494" s="44"/>
      <c r="C494" s="44"/>
      <c r="F494" s="15"/>
      <c r="J494" s="29"/>
      <c r="N494" s="30"/>
      <c r="O494" s="14"/>
    </row>
    <row r="495" ht="15.75" customHeight="1">
      <c r="B495" s="44"/>
      <c r="C495" s="44"/>
      <c r="F495" s="15"/>
      <c r="J495" s="29"/>
      <c r="N495" s="30"/>
      <c r="O495" s="14"/>
    </row>
    <row r="496" ht="15.75" customHeight="1">
      <c r="B496" s="44"/>
      <c r="C496" s="44"/>
      <c r="F496" s="15"/>
      <c r="J496" s="29"/>
      <c r="N496" s="30"/>
      <c r="O496" s="14"/>
    </row>
    <row r="497" ht="15.75" customHeight="1">
      <c r="B497" s="44"/>
      <c r="C497" s="44"/>
      <c r="F497" s="15"/>
      <c r="J497" s="29"/>
      <c r="N497" s="30"/>
      <c r="O497" s="14"/>
    </row>
    <row r="498" ht="15.75" customHeight="1">
      <c r="B498" s="44"/>
      <c r="C498" s="44"/>
      <c r="F498" s="15"/>
      <c r="J498" s="29"/>
      <c r="N498" s="30"/>
      <c r="O498" s="14"/>
    </row>
    <row r="499" ht="15.75" customHeight="1">
      <c r="B499" s="44"/>
      <c r="C499" s="44"/>
      <c r="F499" s="15"/>
      <c r="J499" s="29"/>
      <c r="N499" s="30"/>
      <c r="O499" s="14"/>
    </row>
    <row r="500" ht="15.75" customHeight="1">
      <c r="B500" s="44"/>
      <c r="C500" s="44"/>
      <c r="F500" s="15"/>
      <c r="J500" s="29"/>
      <c r="N500" s="30"/>
      <c r="O500" s="14"/>
    </row>
    <row r="501" ht="15.75" customHeight="1">
      <c r="B501" s="44"/>
      <c r="C501" s="44"/>
      <c r="F501" s="15"/>
      <c r="J501" s="29"/>
      <c r="N501" s="30"/>
      <c r="O501" s="14"/>
    </row>
    <row r="502" ht="15.75" customHeight="1">
      <c r="B502" s="44"/>
      <c r="C502" s="44"/>
      <c r="F502" s="15"/>
      <c r="J502" s="29"/>
      <c r="N502" s="30"/>
      <c r="O502" s="14"/>
    </row>
    <row r="503" ht="15.75" customHeight="1">
      <c r="B503" s="44"/>
      <c r="C503" s="44"/>
      <c r="F503" s="15"/>
      <c r="J503" s="29"/>
      <c r="N503" s="30"/>
      <c r="O503" s="14"/>
    </row>
    <row r="504" ht="15.75" customHeight="1">
      <c r="B504" s="44"/>
      <c r="C504" s="44"/>
      <c r="F504" s="15"/>
      <c r="J504" s="29"/>
      <c r="N504" s="30"/>
      <c r="O504" s="14"/>
    </row>
    <row r="505" ht="15.75" customHeight="1">
      <c r="B505" s="44"/>
      <c r="C505" s="44"/>
      <c r="F505" s="15"/>
      <c r="J505" s="29"/>
      <c r="N505" s="30"/>
      <c r="O505" s="14"/>
    </row>
    <row r="506" ht="15.75" customHeight="1">
      <c r="B506" s="44"/>
      <c r="C506" s="44"/>
      <c r="F506" s="15"/>
      <c r="J506" s="29"/>
      <c r="N506" s="30"/>
      <c r="O506" s="14"/>
    </row>
    <row r="507" ht="15.75" customHeight="1">
      <c r="B507" s="44"/>
      <c r="C507" s="44"/>
      <c r="F507" s="15"/>
      <c r="J507" s="29"/>
      <c r="N507" s="30"/>
      <c r="O507" s="14"/>
    </row>
    <row r="508" ht="15.75" customHeight="1">
      <c r="B508" s="44"/>
      <c r="C508" s="44"/>
      <c r="F508" s="15"/>
      <c r="J508" s="29"/>
      <c r="N508" s="30"/>
      <c r="O508" s="14"/>
    </row>
    <row r="509" ht="15.75" customHeight="1">
      <c r="B509" s="44"/>
      <c r="C509" s="44"/>
      <c r="F509" s="15"/>
      <c r="J509" s="29"/>
      <c r="N509" s="30"/>
      <c r="O509" s="14"/>
    </row>
    <row r="510" ht="15.75" customHeight="1">
      <c r="B510" s="44"/>
      <c r="C510" s="44"/>
      <c r="F510" s="15"/>
      <c r="J510" s="29"/>
      <c r="N510" s="30"/>
      <c r="O510" s="14"/>
    </row>
    <row r="511" ht="15.75" customHeight="1">
      <c r="B511" s="44"/>
      <c r="C511" s="44"/>
      <c r="F511" s="15"/>
      <c r="J511" s="29"/>
      <c r="N511" s="30"/>
      <c r="O511" s="14"/>
    </row>
    <row r="512" ht="15.75" customHeight="1">
      <c r="B512" s="44"/>
      <c r="C512" s="44"/>
      <c r="F512" s="15"/>
      <c r="J512" s="29"/>
      <c r="N512" s="30"/>
      <c r="O512" s="14"/>
    </row>
    <row r="513" ht="15.75" customHeight="1">
      <c r="B513" s="44"/>
      <c r="C513" s="44"/>
      <c r="F513" s="15"/>
      <c r="J513" s="29"/>
      <c r="N513" s="30"/>
      <c r="O513" s="14"/>
    </row>
    <row r="514" ht="15.75" customHeight="1">
      <c r="B514" s="44"/>
      <c r="C514" s="44"/>
      <c r="F514" s="15"/>
      <c r="J514" s="29"/>
      <c r="N514" s="30"/>
      <c r="O514" s="14"/>
    </row>
    <row r="515" ht="15.75" customHeight="1">
      <c r="B515" s="44"/>
      <c r="C515" s="44"/>
      <c r="F515" s="15"/>
      <c r="J515" s="29"/>
      <c r="N515" s="30"/>
      <c r="O515" s="14"/>
    </row>
    <row r="516" ht="15.75" customHeight="1">
      <c r="B516" s="44"/>
      <c r="C516" s="44"/>
      <c r="F516" s="15"/>
      <c r="J516" s="29"/>
      <c r="N516" s="30"/>
      <c r="O516" s="14"/>
    </row>
    <row r="517" ht="15.75" customHeight="1">
      <c r="B517" s="44"/>
      <c r="C517" s="44"/>
      <c r="F517" s="15"/>
      <c r="J517" s="29"/>
      <c r="N517" s="30"/>
      <c r="O517" s="14"/>
    </row>
    <row r="518" ht="15.75" customHeight="1">
      <c r="B518" s="44"/>
      <c r="C518" s="44"/>
      <c r="F518" s="15"/>
      <c r="J518" s="29"/>
      <c r="N518" s="30"/>
      <c r="O518" s="14"/>
    </row>
    <row r="519" ht="15.75" customHeight="1">
      <c r="B519" s="44"/>
      <c r="C519" s="44"/>
      <c r="F519" s="15"/>
      <c r="J519" s="29"/>
      <c r="N519" s="30"/>
      <c r="O519" s="14"/>
    </row>
    <row r="520" ht="15.75" customHeight="1">
      <c r="B520" s="44"/>
      <c r="C520" s="44"/>
      <c r="F520" s="15"/>
      <c r="J520" s="29"/>
      <c r="N520" s="30"/>
      <c r="O520" s="14"/>
    </row>
    <row r="521" ht="15.75" customHeight="1">
      <c r="B521" s="44"/>
      <c r="C521" s="44"/>
      <c r="F521" s="15"/>
      <c r="J521" s="29"/>
      <c r="N521" s="30"/>
      <c r="O521" s="14"/>
    </row>
    <row r="522" ht="15.75" customHeight="1">
      <c r="B522" s="44"/>
      <c r="C522" s="44"/>
      <c r="F522" s="15"/>
      <c r="J522" s="29"/>
      <c r="N522" s="30"/>
      <c r="O522" s="14"/>
    </row>
    <row r="523" ht="15.75" customHeight="1">
      <c r="B523" s="44"/>
      <c r="C523" s="44"/>
      <c r="F523" s="15"/>
      <c r="J523" s="29"/>
      <c r="N523" s="30"/>
      <c r="O523" s="14"/>
    </row>
    <row r="524" ht="15.75" customHeight="1">
      <c r="B524" s="44"/>
      <c r="C524" s="44"/>
      <c r="F524" s="15"/>
      <c r="J524" s="29"/>
      <c r="N524" s="30"/>
      <c r="O524" s="14"/>
    </row>
    <row r="525" ht="15.75" customHeight="1">
      <c r="B525" s="44"/>
      <c r="C525" s="44"/>
      <c r="F525" s="15"/>
      <c r="J525" s="29"/>
      <c r="N525" s="30"/>
      <c r="O525" s="14"/>
    </row>
    <row r="526" ht="15.75" customHeight="1">
      <c r="B526" s="44"/>
      <c r="C526" s="44"/>
      <c r="F526" s="15"/>
      <c r="J526" s="29"/>
      <c r="N526" s="30"/>
      <c r="O526" s="14"/>
    </row>
    <row r="527" ht="15.75" customHeight="1">
      <c r="B527" s="44"/>
      <c r="C527" s="44"/>
      <c r="F527" s="15"/>
      <c r="J527" s="29"/>
      <c r="N527" s="30"/>
      <c r="O527" s="14"/>
    </row>
    <row r="528" ht="15.75" customHeight="1">
      <c r="B528" s="44"/>
      <c r="C528" s="44"/>
      <c r="F528" s="15"/>
      <c r="J528" s="29"/>
      <c r="N528" s="30"/>
      <c r="O528" s="14"/>
    </row>
    <row r="529" ht="15.75" customHeight="1">
      <c r="B529" s="44"/>
      <c r="C529" s="44"/>
      <c r="F529" s="15"/>
      <c r="J529" s="29"/>
      <c r="N529" s="30"/>
      <c r="O529" s="14"/>
    </row>
    <row r="530" ht="15.75" customHeight="1">
      <c r="B530" s="44"/>
      <c r="C530" s="44"/>
      <c r="F530" s="15"/>
      <c r="J530" s="29"/>
      <c r="N530" s="30"/>
      <c r="O530" s="14"/>
    </row>
    <row r="531" ht="15.75" customHeight="1">
      <c r="B531" s="44"/>
      <c r="C531" s="44"/>
      <c r="F531" s="15"/>
      <c r="J531" s="29"/>
      <c r="N531" s="30"/>
      <c r="O531" s="14"/>
    </row>
    <row r="532" ht="15.75" customHeight="1">
      <c r="B532" s="44"/>
      <c r="C532" s="44"/>
      <c r="F532" s="15"/>
      <c r="J532" s="29"/>
      <c r="N532" s="30"/>
      <c r="O532" s="14"/>
    </row>
    <row r="533" ht="15.75" customHeight="1">
      <c r="B533" s="44"/>
      <c r="C533" s="44"/>
      <c r="F533" s="15"/>
      <c r="J533" s="29"/>
      <c r="N533" s="30"/>
      <c r="O533" s="14"/>
    </row>
    <row r="534" ht="15.75" customHeight="1">
      <c r="B534" s="44"/>
      <c r="C534" s="44"/>
      <c r="F534" s="15"/>
      <c r="J534" s="29"/>
      <c r="N534" s="30"/>
      <c r="O534" s="14"/>
    </row>
    <row r="535" ht="15.75" customHeight="1">
      <c r="B535" s="44"/>
      <c r="C535" s="44"/>
      <c r="F535" s="15"/>
      <c r="J535" s="29"/>
      <c r="N535" s="30"/>
      <c r="O535" s="14"/>
    </row>
    <row r="536" ht="15.75" customHeight="1">
      <c r="B536" s="44"/>
      <c r="C536" s="44"/>
      <c r="F536" s="15"/>
      <c r="J536" s="29"/>
      <c r="N536" s="30"/>
      <c r="O536" s="14"/>
    </row>
    <row r="537" ht="15.75" customHeight="1">
      <c r="B537" s="44"/>
      <c r="C537" s="44"/>
      <c r="F537" s="15"/>
      <c r="J537" s="29"/>
      <c r="N537" s="30"/>
      <c r="O537" s="14"/>
    </row>
    <row r="538" ht="15.75" customHeight="1">
      <c r="B538" s="44"/>
      <c r="C538" s="44"/>
      <c r="F538" s="15"/>
      <c r="J538" s="29"/>
      <c r="N538" s="30"/>
      <c r="O538" s="14"/>
    </row>
    <row r="539" ht="15.75" customHeight="1">
      <c r="B539" s="44"/>
      <c r="C539" s="44"/>
      <c r="F539" s="15"/>
      <c r="J539" s="29"/>
      <c r="N539" s="30"/>
      <c r="O539" s="14"/>
    </row>
    <row r="540" ht="15.75" customHeight="1">
      <c r="B540" s="44"/>
      <c r="C540" s="44"/>
      <c r="F540" s="15"/>
      <c r="J540" s="29"/>
      <c r="N540" s="30"/>
      <c r="O540" s="14"/>
    </row>
    <row r="541" ht="15.75" customHeight="1">
      <c r="B541" s="44"/>
      <c r="C541" s="44"/>
      <c r="F541" s="15"/>
      <c r="J541" s="29"/>
      <c r="N541" s="30"/>
      <c r="O541" s="14"/>
    </row>
    <row r="542" ht="15.75" customHeight="1">
      <c r="B542" s="44"/>
      <c r="C542" s="44"/>
      <c r="F542" s="15"/>
      <c r="J542" s="29"/>
      <c r="N542" s="30"/>
      <c r="O542" s="14"/>
    </row>
    <row r="543" ht="15.75" customHeight="1">
      <c r="B543" s="44"/>
      <c r="C543" s="44"/>
      <c r="F543" s="15"/>
      <c r="J543" s="29"/>
      <c r="N543" s="30"/>
      <c r="O543" s="14"/>
    </row>
    <row r="544" ht="15.75" customHeight="1">
      <c r="B544" s="44"/>
      <c r="C544" s="44"/>
      <c r="F544" s="15"/>
      <c r="J544" s="29"/>
      <c r="N544" s="30"/>
      <c r="O544" s="14"/>
    </row>
    <row r="545" ht="15.75" customHeight="1">
      <c r="B545" s="44"/>
      <c r="C545" s="44"/>
      <c r="F545" s="15"/>
      <c r="J545" s="29"/>
      <c r="N545" s="30"/>
      <c r="O545" s="14"/>
    </row>
    <row r="546" ht="15.75" customHeight="1">
      <c r="B546" s="44"/>
      <c r="C546" s="44"/>
      <c r="F546" s="15"/>
      <c r="J546" s="29"/>
      <c r="N546" s="30"/>
      <c r="O546" s="14"/>
    </row>
    <row r="547" ht="15.75" customHeight="1">
      <c r="B547" s="44"/>
      <c r="C547" s="44"/>
      <c r="F547" s="15"/>
      <c r="J547" s="29"/>
      <c r="N547" s="30"/>
      <c r="O547" s="14"/>
    </row>
    <row r="548" ht="15.75" customHeight="1">
      <c r="B548" s="44"/>
      <c r="C548" s="44"/>
      <c r="F548" s="15"/>
      <c r="J548" s="29"/>
      <c r="N548" s="30"/>
      <c r="O548" s="14"/>
    </row>
    <row r="549" ht="15.75" customHeight="1">
      <c r="B549" s="44"/>
      <c r="C549" s="44"/>
      <c r="F549" s="15"/>
      <c r="J549" s="29"/>
      <c r="N549" s="30"/>
      <c r="O549" s="14"/>
    </row>
    <row r="550" ht="15.75" customHeight="1">
      <c r="B550" s="44"/>
      <c r="C550" s="44"/>
      <c r="F550" s="15"/>
      <c r="J550" s="29"/>
      <c r="N550" s="30"/>
      <c r="O550" s="14"/>
    </row>
    <row r="551" ht="15.75" customHeight="1">
      <c r="B551" s="44"/>
      <c r="C551" s="44"/>
      <c r="F551" s="15"/>
      <c r="J551" s="29"/>
      <c r="N551" s="30"/>
      <c r="O551" s="14"/>
    </row>
    <row r="552" ht="15.75" customHeight="1">
      <c r="B552" s="44"/>
      <c r="C552" s="44"/>
      <c r="F552" s="15"/>
      <c r="J552" s="29"/>
      <c r="N552" s="30"/>
      <c r="O552" s="14"/>
    </row>
    <row r="553" ht="15.75" customHeight="1">
      <c r="B553" s="44"/>
      <c r="C553" s="44"/>
      <c r="F553" s="15"/>
      <c r="J553" s="29"/>
      <c r="N553" s="30"/>
      <c r="O553" s="14"/>
    </row>
    <row r="554" ht="15.75" customHeight="1">
      <c r="B554" s="44"/>
      <c r="C554" s="44"/>
      <c r="F554" s="15"/>
      <c r="J554" s="29"/>
      <c r="N554" s="30"/>
      <c r="O554" s="14"/>
    </row>
    <row r="555" ht="15.75" customHeight="1">
      <c r="B555" s="44"/>
      <c r="C555" s="44"/>
      <c r="F555" s="15"/>
      <c r="J555" s="29"/>
      <c r="N555" s="30"/>
      <c r="O555" s="14"/>
    </row>
    <row r="556" ht="15.75" customHeight="1">
      <c r="B556" s="44"/>
      <c r="C556" s="44"/>
      <c r="F556" s="15"/>
      <c r="J556" s="29"/>
      <c r="N556" s="30"/>
      <c r="O556" s="14"/>
    </row>
    <row r="557" ht="15.75" customHeight="1">
      <c r="B557" s="44"/>
      <c r="C557" s="44"/>
      <c r="F557" s="15"/>
      <c r="J557" s="29"/>
      <c r="N557" s="30"/>
      <c r="O557" s="14"/>
    </row>
    <row r="558" ht="15.75" customHeight="1">
      <c r="B558" s="44"/>
      <c r="C558" s="44"/>
      <c r="F558" s="15"/>
      <c r="J558" s="29"/>
      <c r="N558" s="30"/>
      <c r="O558" s="14"/>
    </row>
    <row r="559" ht="15.75" customHeight="1">
      <c r="B559" s="44"/>
      <c r="C559" s="44"/>
      <c r="F559" s="15"/>
      <c r="J559" s="29"/>
      <c r="N559" s="30"/>
      <c r="O559" s="14"/>
    </row>
    <row r="560" ht="15.75" customHeight="1">
      <c r="B560" s="44"/>
      <c r="C560" s="44"/>
      <c r="F560" s="15"/>
      <c r="J560" s="29"/>
      <c r="N560" s="30"/>
      <c r="O560" s="14"/>
    </row>
    <row r="561" ht="15.75" customHeight="1">
      <c r="B561" s="44"/>
      <c r="C561" s="44"/>
      <c r="F561" s="15"/>
      <c r="J561" s="29"/>
      <c r="N561" s="30"/>
      <c r="O561" s="14"/>
    </row>
    <row r="562" ht="15.75" customHeight="1">
      <c r="B562" s="44"/>
      <c r="C562" s="44"/>
      <c r="F562" s="15"/>
      <c r="J562" s="29"/>
      <c r="N562" s="30"/>
      <c r="O562" s="14"/>
    </row>
    <row r="563" ht="15.75" customHeight="1">
      <c r="B563" s="44"/>
      <c r="C563" s="44"/>
      <c r="F563" s="15"/>
      <c r="J563" s="29"/>
      <c r="N563" s="30"/>
      <c r="O563" s="14"/>
    </row>
    <row r="564" ht="15.75" customHeight="1">
      <c r="B564" s="44"/>
      <c r="C564" s="44"/>
      <c r="F564" s="15"/>
      <c r="J564" s="29"/>
      <c r="N564" s="30"/>
      <c r="O564" s="14"/>
    </row>
    <row r="565" ht="15.75" customHeight="1">
      <c r="B565" s="44"/>
      <c r="C565" s="44"/>
      <c r="F565" s="15"/>
      <c r="J565" s="29"/>
      <c r="N565" s="30"/>
      <c r="O565" s="14"/>
    </row>
    <row r="566" ht="15.75" customHeight="1">
      <c r="B566" s="44"/>
      <c r="C566" s="44"/>
      <c r="F566" s="15"/>
      <c r="J566" s="29"/>
      <c r="N566" s="30"/>
      <c r="O566" s="14"/>
    </row>
    <row r="567" ht="15.75" customHeight="1">
      <c r="B567" s="44"/>
      <c r="C567" s="44"/>
      <c r="F567" s="15"/>
      <c r="J567" s="29"/>
      <c r="N567" s="30"/>
      <c r="O567" s="14"/>
    </row>
    <row r="568" ht="15.75" customHeight="1">
      <c r="B568" s="44"/>
      <c r="C568" s="44"/>
      <c r="F568" s="15"/>
      <c r="J568" s="29"/>
      <c r="N568" s="30"/>
      <c r="O568" s="14"/>
    </row>
    <row r="569" ht="15.75" customHeight="1">
      <c r="B569" s="44"/>
      <c r="C569" s="44"/>
      <c r="F569" s="15"/>
      <c r="J569" s="29"/>
      <c r="N569" s="30"/>
      <c r="O569" s="14"/>
    </row>
    <row r="570" ht="15.75" customHeight="1">
      <c r="B570" s="44"/>
      <c r="C570" s="44"/>
      <c r="F570" s="15"/>
      <c r="J570" s="29"/>
      <c r="N570" s="30"/>
      <c r="O570" s="14"/>
    </row>
    <row r="571" ht="15.75" customHeight="1">
      <c r="B571" s="44"/>
      <c r="C571" s="44"/>
      <c r="F571" s="15"/>
      <c r="J571" s="29"/>
      <c r="N571" s="30"/>
      <c r="O571" s="14"/>
    </row>
    <row r="572" ht="15.75" customHeight="1">
      <c r="B572" s="44"/>
      <c r="C572" s="44"/>
      <c r="F572" s="15"/>
      <c r="J572" s="29"/>
      <c r="N572" s="30"/>
      <c r="O572" s="14"/>
    </row>
    <row r="573" ht="15.75" customHeight="1">
      <c r="B573" s="44"/>
      <c r="C573" s="44"/>
      <c r="F573" s="15"/>
      <c r="J573" s="29"/>
      <c r="N573" s="30"/>
      <c r="O573" s="14"/>
    </row>
    <row r="574" ht="15.75" customHeight="1">
      <c r="B574" s="44"/>
      <c r="C574" s="44"/>
      <c r="F574" s="15"/>
      <c r="J574" s="29"/>
      <c r="N574" s="30"/>
      <c r="O574" s="14"/>
    </row>
    <row r="575" ht="15.75" customHeight="1">
      <c r="B575" s="44"/>
      <c r="C575" s="44"/>
      <c r="F575" s="15"/>
      <c r="J575" s="29"/>
      <c r="N575" s="30"/>
      <c r="O575" s="14"/>
    </row>
    <row r="576" ht="15.75" customHeight="1">
      <c r="B576" s="44"/>
      <c r="C576" s="44"/>
      <c r="F576" s="15"/>
      <c r="J576" s="29"/>
      <c r="N576" s="30"/>
      <c r="O576" s="14"/>
    </row>
    <row r="577" ht="15.75" customHeight="1">
      <c r="B577" s="44"/>
      <c r="C577" s="44"/>
      <c r="F577" s="15"/>
      <c r="J577" s="29"/>
      <c r="N577" s="30"/>
      <c r="O577" s="14"/>
    </row>
    <row r="578" ht="15.75" customHeight="1">
      <c r="B578" s="44"/>
      <c r="C578" s="44"/>
      <c r="F578" s="15"/>
      <c r="J578" s="29"/>
      <c r="N578" s="30"/>
      <c r="O578" s="14"/>
    </row>
    <row r="579" ht="15.75" customHeight="1">
      <c r="B579" s="44"/>
      <c r="C579" s="44"/>
      <c r="F579" s="15"/>
      <c r="J579" s="29"/>
      <c r="N579" s="30"/>
      <c r="O579" s="14"/>
    </row>
    <row r="580" ht="15.75" customHeight="1">
      <c r="B580" s="44"/>
      <c r="C580" s="44"/>
      <c r="F580" s="15"/>
      <c r="J580" s="29"/>
      <c r="N580" s="30"/>
      <c r="O580" s="14"/>
    </row>
    <row r="581" ht="15.75" customHeight="1">
      <c r="B581" s="44"/>
      <c r="C581" s="44"/>
      <c r="F581" s="15"/>
      <c r="J581" s="29"/>
      <c r="N581" s="30"/>
      <c r="O581" s="14"/>
    </row>
    <row r="582" ht="15.75" customHeight="1">
      <c r="B582" s="44"/>
      <c r="C582" s="44"/>
      <c r="F582" s="15"/>
      <c r="J582" s="29"/>
      <c r="N582" s="30"/>
      <c r="O582" s="14"/>
    </row>
    <row r="583" ht="15.75" customHeight="1">
      <c r="B583" s="44"/>
      <c r="C583" s="44"/>
      <c r="F583" s="15"/>
      <c r="J583" s="29"/>
      <c r="N583" s="30"/>
      <c r="O583" s="14"/>
    </row>
    <row r="584" ht="15.75" customHeight="1">
      <c r="B584" s="44"/>
      <c r="C584" s="44"/>
      <c r="F584" s="15"/>
      <c r="J584" s="29"/>
      <c r="N584" s="30"/>
      <c r="O584" s="14"/>
    </row>
    <row r="585" ht="15.75" customHeight="1">
      <c r="B585" s="44"/>
      <c r="C585" s="44"/>
      <c r="F585" s="15"/>
      <c r="J585" s="29"/>
      <c r="N585" s="30"/>
      <c r="O585" s="14"/>
    </row>
    <row r="586" ht="15.75" customHeight="1">
      <c r="B586" s="44"/>
      <c r="C586" s="44"/>
      <c r="F586" s="15"/>
      <c r="J586" s="29"/>
      <c r="N586" s="30"/>
      <c r="O586" s="14"/>
    </row>
    <row r="587" ht="15.75" customHeight="1">
      <c r="B587" s="44"/>
      <c r="C587" s="44"/>
      <c r="F587" s="15"/>
      <c r="J587" s="29"/>
      <c r="N587" s="30"/>
      <c r="O587" s="14"/>
    </row>
    <row r="588" ht="15.75" customHeight="1">
      <c r="B588" s="44"/>
      <c r="C588" s="44"/>
      <c r="F588" s="15"/>
      <c r="J588" s="29"/>
      <c r="N588" s="30"/>
      <c r="O588" s="14"/>
    </row>
    <row r="589" ht="15.75" customHeight="1">
      <c r="B589" s="44"/>
      <c r="C589" s="44"/>
      <c r="F589" s="15"/>
      <c r="J589" s="29"/>
      <c r="N589" s="30"/>
      <c r="O589" s="14"/>
    </row>
    <row r="590" ht="15.75" customHeight="1">
      <c r="B590" s="44"/>
      <c r="C590" s="44"/>
      <c r="F590" s="15"/>
      <c r="J590" s="29"/>
      <c r="N590" s="30"/>
      <c r="O590" s="14"/>
    </row>
    <row r="591" ht="15.75" customHeight="1">
      <c r="B591" s="44"/>
      <c r="C591" s="44"/>
      <c r="F591" s="15"/>
      <c r="J591" s="29"/>
      <c r="N591" s="30"/>
      <c r="O591" s="14"/>
    </row>
    <row r="592" ht="15.75" customHeight="1">
      <c r="B592" s="44"/>
      <c r="C592" s="44"/>
      <c r="F592" s="15"/>
      <c r="J592" s="29"/>
      <c r="N592" s="30"/>
      <c r="O592" s="14"/>
    </row>
    <row r="593" ht="15.75" customHeight="1">
      <c r="B593" s="44"/>
      <c r="C593" s="44"/>
      <c r="F593" s="15"/>
      <c r="J593" s="29"/>
      <c r="N593" s="30"/>
      <c r="O593" s="14"/>
    </row>
    <row r="594" ht="15.75" customHeight="1">
      <c r="B594" s="44"/>
      <c r="C594" s="44"/>
      <c r="F594" s="15"/>
      <c r="J594" s="29"/>
      <c r="N594" s="30"/>
      <c r="O594" s="14"/>
    </row>
    <row r="595" ht="15.75" customHeight="1">
      <c r="B595" s="44"/>
      <c r="C595" s="44"/>
      <c r="F595" s="15"/>
      <c r="J595" s="29"/>
      <c r="N595" s="30"/>
      <c r="O595" s="14"/>
    </row>
    <row r="596" ht="15.75" customHeight="1">
      <c r="B596" s="44"/>
      <c r="C596" s="44"/>
      <c r="F596" s="15"/>
      <c r="J596" s="29"/>
      <c r="N596" s="30"/>
      <c r="O596" s="14"/>
    </row>
    <row r="597" ht="15.75" customHeight="1">
      <c r="B597" s="44"/>
      <c r="C597" s="44"/>
      <c r="F597" s="15"/>
      <c r="J597" s="29"/>
      <c r="N597" s="30"/>
      <c r="O597" s="14"/>
    </row>
    <row r="598" ht="15.75" customHeight="1">
      <c r="B598" s="44"/>
      <c r="C598" s="44"/>
      <c r="F598" s="15"/>
      <c r="J598" s="29"/>
      <c r="N598" s="30"/>
      <c r="O598" s="14"/>
    </row>
    <row r="599" ht="15.75" customHeight="1">
      <c r="B599" s="44"/>
      <c r="C599" s="44"/>
      <c r="F599" s="15"/>
      <c r="J599" s="29"/>
      <c r="N599" s="30"/>
      <c r="O599" s="14"/>
    </row>
    <row r="600" ht="15.75" customHeight="1">
      <c r="B600" s="44"/>
      <c r="C600" s="44"/>
      <c r="F600" s="15"/>
      <c r="J600" s="29"/>
      <c r="N600" s="30"/>
      <c r="O600" s="14"/>
    </row>
    <row r="601" ht="15.75" customHeight="1">
      <c r="B601" s="44"/>
      <c r="C601" s="44"/>
      <c r="F601" s="15"/>
      <c r="J601" s="29"/>
      <c r="N601" s="30"/>
      <c r="O601" s="14"/>
    </row>
    <row r="602" ht="15.75" customHeight="1">
      <c r="B602" s="44"/>
      <c r="C602" s="44"/>
      <c r="F602" s="15"/>
      <c r="J602" s="29"/>
      <c r="N602" s="30"/>
      <c r="O602" s="14"/>
    </row>
    <row r="603" ht="15.75" customHeight="1">
      <c r="B603" s="44"/>
      <c r="C603" s="44"/>
      <c r="F603" s="15"/>
      <c r="J603" s="29"/>
      <c r="N603" s="30"/>
      <c r="O603" s="14"/>
    </row>
    <row r="604" ht="15.75" customHeight="1">
      <c r="B604" s="44"/>
      <c r="C604" s="44"/>
      <c r="F604" s="15"/>
      <c r="J604" s="29"/>
      <c r="N604" s="30"/>
      <c r="O604" s="14"/>
    </row>
    <row r="605" ht="15.75" customHeight="1">
      <c r="B605" s="44"/>
      <c r="C605" s="44"/>
      <c r="F605" s="15"/>
      <c r="J605" s="29"/>
      <c r="N605" s="30"/>
      <c r="O605" s="14"/>
    </row>
    <row r="606" ht="15.75" customHeight="1">
      <c r="B606" s="44"/>
      <c r="C606" s="44"/>
      <c r="F606" s="15"/>
      <c r="J606" s="29"/>
      <c r="N606" s="30"/>
      <c r="O606" s="14"/>
    </row>
    <row r="607" ht="15.75" customHeight="1">
      <c r="B607" s="44"/>
      <c r="C607" s="44"/>
      <c r="F607" s="15"/>
      <c r="J607" s="29"/>
      <c r="N607" s="30"/>
      <c r="O607" s="14"/>
    </row>
    <row r="608" ht="15.75" customHeight="1">
      <c r="B608" s="44"/>
      <c r="C608" s="44"/>
      <c r="F608" s="15"/>
      <c r="J608" s="29"/>
      <c r="N608" s="30"/>
      <c r="O608" s="14"/>
    </row>
    <row r="609" ht="15.75" customHeight="1">
      <c r="B609" s="44"/>
      <c r="C609" s="44"/>
      <c r="F609" s="15"/>
      <c r="J609" s="29"/>
      <c r="N609" s="30"/>
      <c r="O609" s="14"/>
    </row>
    <row r="610" ht="15.75" customHeight="1">
      <c r="B610" s="44"/>
      <c r="C610" s="44"/>
      <c r="F610" s="15"/>
      <c r="J610" s="29"/>
      <c r="N610" s="30"/>
      <c r="O610" s="14"/>
    </row>
    <row r="611" ht="15.75" customHeight="1">
      <c r="B611" s="44"/>
      <c r="C611" s="44"/>
      <c r="F611" s="15"/>
      <c r="J611" s="29"/>
      <c r="N611" s="30"/>
      <c r="O611" s="14"/>
    </row>
    <row r="612" ht="15.75" customHeight="1">
      <c r="B612" s="44"/>
      <c r="C612" s="44"/>
      <c r="F612" s="15"/>
      <c r="J612" s="29"/>
      <c r="N612" s="30"/>
      <c r="O612" s="14"/>
    </row>
    <row r="613" ht="15.75" customHeight="1">
      <c r="B613" s="44"/>
      <c r="C613" s="44"/>
      <c r="F613" s="15"/>
      <c r="J613" s="29"/>
      <c r="N613" s="30"/>
      <c r="O613" s="14"/>
    </row>
    <row r="614" ht="15.75" customHeight="1">
      <c r="B614" s="44"/>
      <c r="C614" s="44"/>
      <c r="F614" s="15"/>
      <c r="J614" s="29"/>
      <c r="N614" s="30"/>
      <c r="O614" s="14"/>
    </row>
    <row r="615" ht="15.75" customHeight="1">
      <c r="B615" s="44"/>
      <c r="C615" s="44"/>
      <c r="F615" s="15"/>
      <c r="J615" s="29"/>
      <c r="N615" s="30"/>
      <c r="O615" s="14"/>
    </row>
    <row r="616" ht="15.75" customHeight="1">
      <c r="B616" s="44"/>
      <c r="C616" s="44"/>
      <c r="F616" s="15"/>
      <c r="J616" s="29"/>
      <c r="N616" s="30"/>
      <c r="O616" s="14"/>
    </row>
    <row r="617" ht="15.75" customHeight="1">
      <c r="B617" s="44"/>
      <c r="C617" s="44"/>
      <c r="F617" s="15"/>
      <c r="J617" s="29"/>
      <c r="N617" s="30"/>
      <c r="O617" s="14"/>
    </row>
    <row r="618" ht="15.75" customHeight="1">
      <c r="B618" s="44"/>
      <c r="C618" s="44"/>
      <c r="F618" s="15"/>
      <c r="J618" s="29"/>
      <c r="N618" s="30"/>
      <c r="O618" s="14"/>
    </row>
    <row r="619" ht="15.75" customHeight="1">
      <c r="B619" s="44"/>
      <c r="C619" s="44"/>
      <c r="F619" s="15"/>
      <c r="J619" s="29"/>
      <c r="N619" s="30"/>
      <c r="O619" s="14"/>
    </row>
    <row r="620" ht="15.75" customHeight="1">
      <c r="B620" s="44"/>
      <c r="C620" s="44"/>
      <c r="F620" s="15"/>
      <c r="J620" s="29"/>
      <c r="N620" s="30"/>
      <c r="O620" s="14"/>
    </row>
    <row r="621" ht="15.75" customHeight="1">
      <c r="B621" s="44"/>
      <c r="C621" s="44"/>
      <c r="F621" s="15"/>
      <c r="J621" s="29"/>
      <c r="N621" s="30"/>
      <c r="O621" s="14"/>
    </row>
    <row r="622" ht="15.75" customHeight="1">
      <c r="B622" s="44"/>
      <c r="C622" s="44"/>
      <c r="F622" s="15"/>
      <c r="J622" s="29"/>
      <c r="N622" s="30"/>
      <c r="O622" s="14"/>
    </row>
    <row r="623" ht="15.75" customHeight="1">
      <c r="B623" s="44"/>
      <c r="C623" s="44"/>
      <c r="F623" s="15"/>
      <c r="J623" s="29"/>
      <c r="N623" s="30"/>
      <c r="O623" s="14"/>
    </row>
    <row r="624" ht="15.75" customHeight="1">
      <c r="B624" s="44"/>
      <c r="C624" s="44"/>
      <c r="F624" s="15"/>
      <c r="J624" s="29"/>
      <c r="N624" s="30"/>
      <c r="O624" s="14"/>
    </row>
    <row r="625" ht="15.75" customHeight="1">
      <c r="B625" s="44"/>
      <c r="C625" s="44"/>
      <c r="F625" s="15"/>
      <c r="J625" s="29"/>
      <c r="N625" s="30"/>
      <c r="O625" s="14"/>
    </row>
    <row r="626" ht="15.75" customHeight="1">
      <c r="B626" s="44"/>
      <c r="C626" s="44"/>
      <c r="F626" s="15"/>
      <c r="J626" s="29"/>
      <c r="N626" s="30"/>
      <c r="O626" s="14"/>
    </row>
    <row r="627" ht="15.75" customHeight="1">
      <c r="B627" s="44"/>
      <c r="C627" s="44"/>
      <c r="F627" s="15"/>
      <c r="J627" s="29"/>
      <c r="N627" s="30"/>
      <c r="O627" s="14"/>
    </row>
    <row r="628" ht="15.75" customHeight="1">
      <c r="B628" s="44"/>
      <c r="C628" s="44"/>
      <c r="F628" s="15"/>
      <c r="J628" s="29"/>
      <c r="N628" s="30"/>
      <c r="O628" s="14"/>
    </row>
    <row r="629" ht="15.75" customHeight="1">
      <c r="B629" s="44"/>
      <c r="C629" s="44"/>
      <c r="F629" s="15"/>
      <c r="J629" s="29"/>
      <c r="N629" s="30"/>
      <c r="O629" s="14"/>
    </row>
    <row r="630" ht="15.75" customHeight="1">
      <c r="B630" s="44"/>
      <c r="C630" s="44"/>
      <c r="F630" s="15"/>
      <c r="J630" s="29"/>
      <c r="N630" s="30"/>
      <c r="O630" s="14"/>
    </row>
    <row r="631" ht="15.75" customHeight="1">
      <c r="B631" s="44"/>
      <c r="C631" s="44"/>
      <c r="F631" s="15"/>
      <c r="J631" s="29"/>
      <c r="N631" s="30"/>
      <c r="O631" s="14"/>
    </row>
    <row r="632" ht="15.75" customHeight="1">
      <c r="B632" s="44"/>
      <c r="C632" s="44"/>
      <c r="F632" s="15"/>
      <c r="J632" s="29"/>
      <c r="N632" s="30"/>
      <c r="O632" s="14"/>
    </row>
    <row r="633" ht="15.75" customHeight="1">
      <c r="B633" s="44"/>
      <c r="C633" s="44"/>
      <c r="F633" s="15"/>
      <c r="J633" s="29"/>
      <c r="N633" s="30"/>
      <c r="O633" s="14"/>
    </row>
    <row r="634" ht="15.75" customHeight="1">
      <c r="B634" s="44"/>
      <c r="C634" s="44"/>
      <c r="F634" s="15"/>
      <c r="J634" s="29"/>
      <c r="N634" s="30"/>
      <c r="O634" s="14"/>
    </row>
    <row r="635" ht="15.75" customHeight="1">
      <c r="B635" s="44"/>
      <c r="C635" s="44"/>
      <c r="F635" s="15"/>
      <c r="J635" s="29"/>
      <c r="N635" s="30"/>
      <c r="O635" s="14"/>
    </row>
    <row r="636" ht="15.75" customHeight="1">
      <c r="B636" s="44"/>
      <c r="C636" s="44"/>
      <c r="F636" s="15"/>
      <c r="J636" s="29"/>
      <c r="N636" s="30"/>
      <c r="O636" s="14"/>
    </row>
    <row r="637" ht="15.75" customHeight="1">
      <c r="B637" s="44"/>
      <c r="C637" s="44"/>
      <c r="F637" s="15"/>
      <c r="J637" s="29"/>
      <c r="N637" s="30"/>
      <c r="O637" s="14"/>
    </row>
    <row r="638" ht="15.75" customHeight="1">
      <c r="B638" s="44"/>
      <c r="C638" s="44"/>
      <c r="F638" s="15"/>
      <c r="J638" s="29"/>
      <c r="N638" s="30"/>
      <c r="O638" s="14"/>
    </row>
    <row r="639" ht="15.75" customHeight="1">
      <c r="B639" s="44"/>
      <c r="C639" s="44"/>
      <c r="F639" s="15"/>
      <c r="J639" s="29"/>
      <c r="N639" s="30"/>
      <c r="O639" s="14"/>
    </row>
    <row r="640" ht="15.75" customHeight="1">
      <c r="B640" s="44"/>
      <c r="C640" s="44"/>
      <c r="F640" s="15"/>
      <c r="J640" s="29"/>
      <c r="N640" s="30"/>
      <c r="O640" s="14"/>
    </row>
    <row r="641" ht="15.75" customHeight="1">
      <c r="B641" s="44"/>
      <c r="C641" s="44"/>
      <c r="F641" s="15"/>
      <c r="J641" s="29"/>
      <c r="N641" s="30"/>
      <c r="O641" s="14"/>
    </row>
    <row r="642" ht="15.75" customHeight="1">
      <c r="B642" s="44"/>
      <c r="C642" s="44"/>
      <c r="F642" s="15"/>
      <c r="J642" s="29"/>
      <c r="N642" s="30"/>
      <c r="O642" s="14"/>
    </row>
    <row r="643" ht="15.75" customHeight="1">
      <c r="B643" s="44"/>
      <c r="C643" s="44"/>
      <c r="F643" s="15"/>
      <c r="J643" s="29"/>
      <c r="N643" s="30"/>
      <c r="O643" s="14"/>
    </row>
    <row r="644" ht="15.75" customHeight="1">
      <c r="B644" s="44"/>
      <c r="C644" s="44"/>
      <c r="F644" s="15"/>
      <c r="J644" s="29"/>
      <c r="N644" s="30"/>
      <c r="O644" s="14"/>
    </row>
    <row r="645" ht="15.75" customHeight="1">
      <c r="B645" s="44"/>
      <c r="C645" s="44"/>
      <c r="F645" s="15"/>
      <c r="J645" s="29"/>
      <c r="N645" s="30"/>
      <c r="O645" s="14"/>
    </row>
    <row r="646" ht="15.75" customHeight="1">
      <c r="B646" s="44"/>
      <c r="C646" s="44"/>
      <c r="F646" s="15"/>
      <c r="J646" s="29"/>
      <c r="N646" s="30"/>
      <c r="O646" s="14"/>
    </row>
    <row r="647" ht="15.75" customHeight="1">
      <c r="B647" s="44"/>
      <c r="C647" s="44"/>
      <c r="F647" s="15"/>
      <c r="J647" s="29"/>
      <c r="N647" s="30"/>
      <c r="O647" s="14"/>
    </row>
    <row r="648" ht="15.75" customHeight="1">
      <c r="B648" s="44"/>
      <c r="C648" s="44"/>
      <c r="F648" s="15"/>
      <c r="J648" s="29"/>
      <c r="N648" s="30"/>
      <c r="O648" s="14"/>
    </row>
    <row r="649" ht="15.75" customHeight="1">
      <c r="B649" s="44"/>
      <c r="C649" s="44"/>
      <c r="F649" s="15"/>
      <c r="J649" s="29"/>
      <c r="N649" s="30"/>
      <c r="O649" s="14"/>
    </row>
    <row r="650" ht="15.75" customHeight="1">
      <c r="B650" s="44"/>
      <c r="C650" s="44"/>
      <c r="F650" s="15"/>
      <c r="J650" s="29"/>
      <c r="N650" s="30"/>
      <c r="O650" s="14"/>
    </row>
    <row r="651" ht="15.75" customHeight="1">
      <c r="B651" s="44"/>
      <c r="C651" s="44"/>
      <c r="F651" s="15"/>
      <c r="J651" s="29"/>
      <c r="N651" s="30"/>
      <c r="O651" s="14"/>
    </row>
    <row r="652" ht="15.75" customHeight="1">
      <c r="B652" s="44"/>
      <c r="C652" s="44"/>
      <c r="F652" s="15"/>
      <c r="J652" s="29"/>
      <c r="N652" s="30"/>
      <c r="O652" s="14"/>
    </row>
    <row r="653" ht="15.75" customHeight="1">
      <c r="B653" s="44"/>
      <c r="C653" s="44"/>
      <c r="F653" s="15"/>
      <c r="J653" s="29"/>
      <c r="N653" s="30"/>
      <c r="O653" s="14"/>
    </row>
    <row r="654" ht="15.75" customHeight="1">
      <c r="B654" s="44"/>
      <c r="C654" s="44"/>
      <c r="F654" s="15"/>
      <c r="J654" s="29"/>
      <c r="N654" s="30"/>
      <c r="O654" s="14"/>
    </row>
    <row r="655" ht="15.75" customHeight="1">
      <c r="B655" s="44"/>
      <c r="C655" s="44"/>
      <c r="F655" s="15"/>
      <c r="J655" s="29"/>
      <c r="N655" s="30"/>
      <c r="O655" s="14"/>
    </row>
    <row r="656" ht="15.75" customHeight="1">
      <c r="B656" s="44"/>
      <c r="C656" s="44"/>
      <c r="F656" s="15"/>
      <c r="J656" s="29"/>
      <c r="N656" s="30"/>
      <c r="O656" s="14"/>
    </row>
    <row r="657" ht="15.75" customHeight="1">
      <c r="B657" s="44"/>
      <c r="C657" s="44"/>
      <c r="F657" s="15"/>
      <c r="J657" s="29"/>
      <c r="N657" s="30"/>
      <c r="O657" s="14"/>
    </row>
    <row r="658" ht="15.75" customHeight="1">
      <c r="B658" s="44"/>
      <c r="C658" s="44"/>
      <c r="F658" s="15"/>
      <c r="J658" s="29"/>
      <c r="N658" s="30"/>
      <c r="O658" s="14"/>
    </row>
    <row r="659" ht="15.75" customHeight="1">
      <c r="B659" s="44"/>
      <c r="C659" s="44"/>
      <c r="F659" s="15"/>
      <c r="J659" s="29"/>
      <c r="N659" s="30"/>
      <c r="O659" s="14"/>
    </row>
    <row r="660" ht="15.75" customHeight="1">
      <c r="B660" s="44"/>
      <c r="C660" s="44"/>
      <c r="F660" s="15"/>
      <c r="J660" s="29"/>
      <c r="N660" s="30"/>
      <c r="O660" s="14"/>
    </row>
    <row r="661" ht="15.75" customHeight="1">
      <c r="B661" s="44"/>
      <c r="C661" s="44"/>
      <c r="F661" s="15"/>
      <c r="J661" s="29"/>
      <c r="N661" s="30"/>
      <c r="O661" s="14"/>
    </row>
    <row r="662" ht="15.75" customHeight="1">
      <c r="B662" s="44"/>
      <c r="C662" s="44"/>
      <c r="F662" s="15"/>
      <c r="J662" s="29"/>
      <c r="N662" s="30"/>
      <c r="O662" s="14"/>
    </row>
    <row r="663" ht="15.75" customHeight="1">
      <c r="B663" s="44"/>
      <c r="C663" s="44"/>
      <c r="F663" s="15"/>
      <c r="J663" s="29"/>
      <c r="N663" s="30"/>
      <c r="O663" s="14"/>
    </row>
    <row r="664" ht="15.75" customHeight="1">
      <c r="B664" s="44"/>
      <c r="C664" s="44"/>
      <c r="F664" s="15"/>
      <c r="J664" s="29"/>
      <c r="N664" s="30"/>
      <c r="O664" s="14"/>
    </row>
    <row r="665" ht="15.75" customHeight="1">
      <c r="B665" s="44"/>
      <c r="C665" s="44"/>
      <c r="F665" s="15"/>
      <c r="J665" s="29"/>
      <c r="N665" s="30"/>
      <c r="O665" s="14"/>
    </row>
    <row r="666" ht="15.75" customHeight="1">
      <c r="B666" s="44"/>
      <c r="C666" s="44"/>
      <c r="F666" s="15"/>
      <c r="J666" s="29"/>
      <c r="N666" s="30"/>
      <c r="O666" s="14"/>
    </row>
    <row r="667" ht="15.75" customHeight="1">
      <c r="B667" s="44"/>
      <c r="C667" s="44"/>
      <c r="F667" s="15"/>
      <c r="J667" s="29"/>
      <c r="N667" s="30"/>
      <c r="O667" s="14"/>
    </row>
    <row r="668" ht="15.75" customHeight="1">
      <c r="B668" s="44"/>
      <c r="C668" s="44"/>
      <c r="F668" s="15"/>
      <c r="J668" s="29"/>
      <c r="N668" s="30"/>
      <c r="O668" s="14"/>
    </row>
    <row r="669" ht="15.75" customHeight="1">
      <c r="B669" s="44"/>
      <c r="C669" s="44"/>
      <c r="F669" s="15"/>
      <c r="J669" s="29"/>
      <c r="N669" s="30"/>
      <c r="O669" s="14"/>
    </row>
    <row r="670" ht="15.75" customHeight="1">
      <c r="B670" s="44"/>
      <c r="C670" s="44"/>
      <c r="F670" s="15"/>
      <c r="J670" s="29"/>
      <c r="N670" s="30"/>
      <c r="O670" s="14"/>
    </row>
    <row r="671" ht="15.75" customHeight="1">
      <c r="B671" s="44"/>
      <c r="C671" s="44"/>
      <c r="F671" s="15"/>
      <c r="J671" s="29"/>
      <c r="N671" s="30"/>
      <c r="O671" s="14"/>
    </row>
    <row r="672" ht="15.75" customHeight="1">
      <c r="B672" s="44"/>
      <c r="C672" s="44"/>
      <c r="F672" s="15"/>
      <c r="J672" s="29"/>
      <c r="N672" s="30"/>
      <c r="O672" s="14"/>
    </row>
    <row r="673" ht="15.75" customHeight="1">
      <c r="B673" s="44"/>
      <c r="C673" s="44"/>
      <c r="F673" s="15"/>
      <c r="J673" s="29"/>
      <c r="N673" s="30"/>
      <c r="O673" s="14"/>
    </row>
    <row r="674" ht="15.75" customHeight="1">
      <c r="B674" s="44"/>
      <c r="C674" s="44"/>
      <c r="F674" s="15"/>
      <c r="J674" s="29"/>
      <c r="N674" s="30"/>
      <c r="O674" s="14"/>
    </row>
    <row r="675" ht="15.75" customHeight="1">
      <c r="B675" s="44"/>
      <c r="C675" s="44"/>
      <c r="F675" s="15"/>
      <c r="J675" s="29"/>
      <c r="N675" s="30"/>
      <c r="O675" s="14"/>
    </row>
    <row r="676" ht="15.75" customHeight="1">
      <c r="B676" s="44"/>
      <c r="C676" s="44"/>
      <c r="F676" s="15"/>
      <c r="J676" s="29"/>
      <c r="N676" s="30"/>
      <c r="O676" s="14"/>
    </row>
    <row r="677" ht="15.75" customHeight="1">
      <c r="B677" s="44"/>
      <c r="C677" s="44"/>
      <c r="F677" s="15"/>
      <c r="J677" s="29"/>
      <c r="N677" s="30"/>
      <c r="O677" s="14"/>
    </row>
    <row r="678" ht="15.75" customHeight="1">
      <c r="B678" s="44"/>
      <c r="C678" s="44"/>
      <c r="F678" s="15"/>
      <c r="J678" s="29"/>
      <c r="N678" s="30"/>
      <c r="O678" s="14"/>
    </row>
    <row r="679" ht="15.75" customHeight="1">
      <c r="B679" s="44"/>
      <c r="C679" s="44"/>
      <c r="F679" s="15"/>
      <c r="J679" s="29"/>
      <c r="N679" s="30"/>
      <c r="O679" s="14"/>
    </row>
    <row r="680" ht="15.75" customHeight="1">
      <c r="B680" s="44"/>
      <c r="C680" s="44"/>
      <c r="F680" s="15"/>
      <c r="J680" s="29"/>
      <c r="N680" s="30"/>
      <c r="O680" s="14"/>
    </row>
    <row r="681" ht="15.75" customHeight="1">
      <c r="B681" s="44"/>
      <c r="C681" s="44"/>
      <c r="F681" s="15"/>
      <c r="J681" s="29"/>
      <c r="N681" s="30"/>
      <c r="O681" s="14"/>
    </row>
    <row r="682" ht="15.75" customHeight="1">
      <c r="B682" s="44"/>
      <c r="C682" s="44"/>
      <c r="F682" s="15"/>
      <c r="J682" s="29"/>
      <c r="N682" s="30"/>
      <c r="O682" s="14"/>
    </row>
    <row r="683" ht="15.75" customHeight="1">
      <c r="B683" s="44"/>
      <c r="C683" s="44"/>
      <c r="F683" s="15"/>
      <c r="J683" s="29"/>
      <c r="N683" s="30"/>
      <c r="O683" s="14"/>
    </row>
    <row r="684" ht="15.75" customHeight="1">
      <c r="B684" s="44"/>
      <c r="C684" s="44"/>
      <c r="F684" s="15"/>
      <c r="J684" s="29"/>
      <c r="N684" s="30"/>
      <c r="O684" s="14"/>
    </row>
    <row r="685" ht="15.75" customHeight="1">
      <c r="B685" s="44"/>
      <c r="C685" s="44"/>
      <c r="F685" s="15"/>
      <c r="J685" s="29"/>
      <c r="N685" s="30"/>
      <c r="O685" s="14"/>
    </row>
    <row r="686" ht="15.75" customHeight="1">
      <c r="B686" s="44"/>
      <c r="C686" s="44"/>
      <c r="F686" s="15"/>
      <c r="J686" s="29"/>
      <c r="N686" s="30"/>
      <c r="O686" s="14"/>
    </row>
    <row r="687" ht="15.75" customHeight="1">
      <c r="B687" s="44"/>
      <c r="C687" s="44"/>
      <c r="F687" s="15"/>
      <c r="J687" s="29"/>
      <c r="N687" s="30"/>
      <c r="O687" s="14"/>
    </row>
    <row r="688" ht="15.75" customHeight="1">
      <c r="B688" s="44"/>
      <c r="C688" s="44"/>
      <c r="F688" s="15"/>
      <c r="J688" s="29"/>
      <c r="N688" s="30"/>
      <c r="O688" s="14"/>
    </row>
    <row r="689" ht="15.75" customHeight="1">
      <c r="B689" s="44"/>
      <c r="C689" s="44"/>
      <c r="F689" s="15"/>
      <c r="J689" s="29"/>
      <c r="N689" s="30"/>
      <c r="O689" s="14"/>
    </row>
    <row r="690" ht="15.75" customHeight="1">
      <c r="B690" s="44"/>
      <c r="C690" s="44"/>
      <c r="F690" s="15"/>
      <c r="J690" s="29"/>
      <c r="N690" s="30"/>
      <c r="O690" s="14"/>
    </row>
    <row r="691" ht="15.75" customHeight="1">
      <c r="B691" s="44"/>
      <c r="C691" s="44"/>
      <c r="F691" s="15"/>
      <c r="J691" s="29"/>
      <c r="N691" s="30"/>
      <c r="O691" s="14"/>
    </row>
    <row r="692" ht="15.75" customHeight="1">
      <c r="B692" s="44"/>
      <c r="C692" s="44"/>
      <c r="F692" s="15"/>
      <c r="J692" s="29"/>
      <c r="N692" s="30"/>
      <c r="O692" s="14"/>
    </row>
    <row r="693" ht="15.75" customHeight="1">
      <c r="B693" s="44"/>
      <c r="C693" s="44"/>
      <c r="F693" s="15"/>
      <c r="J693" s="29"/>
      <c r="N693" s="30"/>
      <c r="O693" s="14"/>
    </row>
    <row r="694" ht="15.75" customHeight="1">
      <c r="B694" s="44"/>
      <c r="C694" s="44"/>
      <c r="F694" s="15"/>
      <c r="J694" s="29"/>
      <c r="N694" s="30"/>
      <c r="O694" s="14"/>
    </row>
    <row r="695" ht="15.75" customHeight="1">
      <c r="B695" s="44"/>
      <c r="C695" s="44"/>
      <c r="F695" s="15"/>
      <c r="J695" s="29"/>
      <c r="N695" s="30"/>
      <c r="O695" s="14"/>
    </row>
    <row r="696" ht="15.75" customHeight="1">
      <c r="B696" s="44"/>
      <c r="C696" s="44"/>
      <c r="F696" s="15"/>
      <c r="J696" s="29"/>
      <c r="N696" s="30"/>
      <c r="O696" s="14"/>
    </row>
    <row r="697" ht="15.75" customHeight="1">
      <c r="B697" s="44"/>
      <c r="C697" s="44"/>
      <c r="F697" s="15"/>
      <c r="J697" s="29"/>
      <c r="N697" s="30"/>
      <c r="O697" s="14"/>
    </row>
    <row r="698" ht="15.75" customHeight="1">
      <c r="B698" s="44"/>
      <c r="C698" s="44"/>
      <c r="F698" s="15"/>
      <c r="J698" s="29"/>
      <c r="N698" s="30"/>
      <c r="O698" s="14"/>
    </row>
    <row r="699" ht="15.75" customHeight="1">
      <c r="B699" s="44"/>
      <c r="C699" s="44"/>
      <c r="F699" s="15"/>
      <c r="J699" s="29"/>
      <c r="N699" s="30"/>
      <c r="O699" s="14"/>
    </row>
    <row r="700" ht="15.75" customHeight="1">
      <c r="B700" s="44"/>
      <c r="C700" s="44"/>
      <c r="F700" s="15"/>
      <c r="J700" s="29"/>
      <c r="N700" s="30"/>
      <c r="O700" s="14"/>
    </row>
    <row r="701" ht="15.75" customHeight="1">
      <c r="B701" s="44"/>
      <c r="C701" s="44"/>
      <c r="F701" s="15"/>
      <c r="J701" s="29"/>
      <c r="N701" s="30"/>
      <c r="O701" s="14"/>
    </row>
    <row r="702" ht="15.75" customHeight="1">
      <c r="B702" s="44"/>
      <c r="C702" s="44"/>
      <c r="F702" s="15"/>
      <c r="J702" s="29"/>
      <c r="N702" s="30"/>
      <c r="O702" s="14"/>
    </row>
    <row r="703" ht="15.75" customHeight="1">
      <c r="B703" s="44"/>
      <c r="C703" s="44"/>
      <c r="F703" s="15"/>
      <c r="J703" s="29"/>
      <c r="N703" s="30"/>
      <c r="O703" s="14"/>
    </row>
    <row r="704" ht="15.75" customHeight="1">
      <c r="B704" s="44"/>
      <c r="C704" s="44"/>
      <c r="F704" s="15"/>
      <c r="J704" s="29"/>
      <c r="N704" s="30"/>
      <c r="O704" s="14"/>
    </row>
    <row r="705" ht="15.75" customHeight="1">
      <c r="B705" s="44"/>
      <c r="C705" s="44"/>
      <c r="F705" s="15"/>
      <c r="J705" s="29"/>
      <c r="N705" s="30"/>
      <c r="O705" s="14"/>
    </row>
    <row r="706" ht="15.75" customHeight="1">
      <c r="B706" s="44"/>
      <c r="C706" s="44"/>
      <c r="F706" s="15"/>
      <c r="J706" s="29"/>
      <c r="N706" s="30"/>
      <c r="O706" s="14"/>
    </row>
    <row r="707" ht="15.75" customHeight="1">
      <c r="B707" s="44"/>
      <c r="C707" s="44"/>
      <c r="F707" s="15"/>
      <c r="J707" s="29"/>
      <c r="N707" s="30"/>
      <c r="O707" s="14"/>
    </row>
    <row r="708" ht="15.75" customHeight="1">
      <c r="B708" s="44"/>
      <c r="C708" s="44"/>
      <c r="F708" s="15"/>
      <c r="J708" s="29"/>
      <c r="N708" s="30"/>
      <c r="O708" s="14"/>
    </row>
    <row r="709" ht="15.75" customHeight="1">
      <c r="B709" s="44"/>
      <c r="C709" s="44"/>
      <c r="F709" s="15"/>
      <c r="J709" s="29"/>
      <c r="N709" s="30"/>
      <c r="O709" s="14"/>
    </row>
    <row r="710" ht="15.75" customHeight="1">
      <c r="B710" s="44"/>
      <c r="C710" s="44"/>
      <c r="F710" s="15"/>
      <c r="J710" s="29"/>
      <c r="N710" s="30"/>
      <c r="O710" s="14"/>
    </row>
    <row r="711" ht="15.75" customHeight="1">
      <c r="B711" s="44"/>
      <c r="C711" s="44"/>
      <c r="F711" s="15"/>
      <c r="J711" s="29"/>
      <c r="N711" s="30"/>
      <c r="O711" s="14"/>
    </row>
    <row r="712" ht="15.75" customHeight="1">
      <c r="B712" s="44"/>
      <c r="C712" s="44"/>
      <c r="F712" s="15"/>
      <c r="J712" s="29"/>
      <c r="N712" s="30"/>
      <c r="O712" s="14"/>
    </row>
    <row r="713" ht="15.75" customHeight="1">
      <c r="B713" s="44"/>
      <c r="C713" s="44"/>
      <c r="F713" s="15"/>
      <c r="J713" s="29"/>
      <c r="N713" s="30"/>
      <c r="O713" s="14"/>
    </row>
    <row r="714" ht="15.75" customHeight="1">
      <c r="B714" s="44"/>
      <c r="C714" s="44"/>
      <c r="F714" s="15"/>
      <c r="J714" s="29"/>
      <c r="N714" s="30"/>
      <c r="O714" s="14"/>
    </row>
    <row r="715" ht="15.75" customHeight="1">
      <c r="B715" s="44"/>
      <c r="C715" s="44"/>
      <c r="F715" s="15"/>
      <c r="J715" s="29"/>
      <c r="N715" s="30"/>
      <c r="O715" s="14"/>
    </row>
    <row r="716" ht="15.75" customHeight="1">
      <c r="B716" s="44"/>
      <c r="C716" s="44"/>
      <c r="F716" s="15"/>
      <c r="J716" s="29"/>
      <c r="N716" s="30"/>
      <c r="O716" s="14"/>
    </row>
    <row r="717" ht="15.75" customHeight="1">
      <c r="B717" s="44"/>
      <c r="C717" s="44"/>
      <c r="F717" s="15"/>
      <c r="J717" s="29"/>
      <c r="N717" s="30"/>
      <c r="O717" s="14"/>
    </row>
    <row r="718" ht="15.75" customHeight="1">
      <c r="B718" s="44"/>
      <c r="C718" s="44"/>
      <c r="F718" s="15"/>
      <c r="J718" s="29"/>
      <c r="N718" s="30"/>
      <c r="O718" s="14"/>
    </row>
    <row r="719" ht="15.75" customHeight="1">
      <c r="B719" s="44"/>
      <c r="C719" s="44"/>
      <c r="F719" s="15"/>
      <c r="J719" s="29"/>
      <c r="N719" s="30"/>
      <c r="O719" s="14"/>
    </row>
    <row r="720" ht="15.75" customHeight="1">
      <c r="B720" s="44"/>
      <c r="C720" s="44"/>
      <c r="F720" s="15"/>
      <c r="J720" s="29"/>
      <c r="N720" s="30"/>
      <c r="O720" s="14"/>
    </row>
    <row r="721" ht="15.75" customHeight="1">
      <c r="B721" s="44"/>
      <c r="C721" s="44"/>
      <c r="F721" s="15"/>
      <c r="J721" s="29"/>
      <c r="N721" s="30"/>
      <c r="O721" s="14"/>
    </row>
    <row r="722" ht="15.75" customHeight="1">
      <c r="B722" s="44"/>
      <c r="C722" s="44"/>
      <c r="F722" s="15"/>
      <c r="J722" s="29"/>
      <c r="N722" s="30"/>
      <c r="O722" s="14"/>
    </row>
    <row r="723" ht="15.75" customHeight="1">
      <c r="B723" s="44"/>
      <c r="C723" s="44"/>
      <c r="F723" s="15"/>
      <c r="J723" s="29"/>
      <c r="N723" s="30"/>
      <c r="O723" s="14"/>
    </row>
    <row r="724" ht="15.75" customHeight="1">
      <c r="B724" s="44"/>
      <c r="C724" s="44"/>
      <c r="F724" s="15"/>
      <c r="J724" s="29"/>
      <c r="N724" s="30"/>
      <c r="O724" s="14"/>
    </row>
    <row r="725" ht="15.75" customHeight="1">
      <c r="B725" s="44"/>
      <c r="C725" s="44"/>
      <c r="F725" s="15"/>
      <c r="J725" s="29"/>
      <c r="N725" s="30"/>
      <c r="O725" s="14"/>
    </row>
    <row r="726" ht="15.75" customHeight="1">
      <c r="B726" s="44"/>
      <c r="C726" s="44"/>
      <c r="F726" s="15"/>
      <c r="J726" s="29"/>
      <c r="N726" s="30"/>
      <c r="O726" s="14"/>
    </row>
    <row r="727" ht="15.75" customHeight="1">
      <c r="B727" s="44"/>
      <c r="C727" s="44"/>
      <c r="F727" s="15"/>
      <c r="J727" s="29"/>
      <c r="N727" s="30"/>
      <c r="O727" s="14"/>
    </row>
    <row r="728" ht="15.75" customHeight="1">
      <c r="B728" s="44"/>
      <c r="C728" s="44"/>
      <c r="F728" s="15"/>
      <c r="J728" s="29"/>
      <c r="N728" s="30"/>
      <c r="O728" s="14"/>
    </row>
    <row r="729" ht="15.75" customHeight="1">
      <c r="B729" s="44"/>
      <c r="C729" s="44"/>
      <c r="F729" s="15"/>
      <c r="J729" s="29"/>
      <c r="N729" s="30"/>
      <c r="O729" s="14"/>
    </row>
    <row r="730" ht="15.75" customHeight="1">
      <c r="B730" s="44"/>
      <c r="C730" s="44"/>
      <c r="F730" s="15"/>
      <c r="J730" s="29"/>
      <c r="N730" s="30"/>
      <c r="O730" s="14"/>
    </row>
    <row r="731" ht="15.75" customHeight="1">
      <c r="B731" s="44"/>
      <c r="C731" s="44"/>
      <c r="F731" s="15"/>
      <c r="J731" s="29"/>
      <c r="N731" s="30"/>
      <c r="O731" s="14"/>
    </row>
    <row r="732" ht="15.75" customHeight="1">
      <c r="B732" s="44"/>
      <c r="C732" s="44"/>
      <c r="F732" s="15"/>
      <c r="J732" s="29"/>
      <c r="N732" s="30"/>
      <c r="O732" s="14"/>
    </row>
    <row r="733" ht="15.75" customHeight="1">
      <c r="B733" s="44"/>
      <c r="C733" s="44"/>
      <c r="F733" s="15"/>
      <c r="J733" s="29"/>
      <c r="N733" s="30"/>
      <c r="O733" s="14"/>
    </row>
    <row r="734" ht="15.75" customHeight="1">
      <c r="B734" s="44"/>
      <c r="C734" s="44"/>
      <c r="F734" s="15"/>
      <c r="J734" s="29"/>
      <c r="N734" s="30"/>
      <c r="O734" s="14"/>
    </row>
    <row r="735" ht="15.75" customHeight="1">
      <c r="B735" s="44"/>
      <c r="C735" s="44"/>
      <c r="F735" s="15"/>
      <c r="J735" s="29"/>
      <c r="N735" s="30"/>
      <c r="O735" s="14"/>
    </row>
    <row r="736" ht="15.75" customHeight="1">
      <c r="B736" s="44"/>
      <c r="C736" s="44"/>
      <c r="F736" s="15"/>
      <c r="J736" s="29"/>
      <c r="N736" s="30"/>
      <c r="O736" s="14"/>
    </row>
    <row r="737" ht="15.75" customHeight="1">
      <c r="B737" s="44"/>
      <c r="C737" s="44"/>
      <c r="F737" s="15"/>
      <c r="J737" s="29"/>
      <c r="N737" s="30"/>
      <c r="O737" s="14"/>
    </row>
    <row r="738" ht="15.75" customHeight="1">
      <c r="B738" s="44"/>
      <c r="C738" s="44"/>
      <c r="F738" s="15"/>
      <c r="J738" s="29"/>
      <c r="N738" s="30"/>
      <c r="O738" s="14"/>
    </row>
    <row r="739" ht="15.75" customHeight="1">
      <c r="B739" s="44"/>
      <c r="C739" s="44"/>
      <c r="F739" s="15"/>
      <c r="J739" s="29"/>
      <c r="N739" s="30"/>
      <c r="O739" s="14"/>
    </row>
    <row r="740" ht="15.75" customHeight="1">
      <c r="B740" s="44"/>
      <c r="C740" s="44"/>
      <c r="F740" s="15"/>
      <c r="J740" s="29"/>
      <c r="N740" s="30"/>
      <c r="O740" s="14"/>
    </row>
    <row r="741" ht="15.75" customHeight="1">
      <c r="B741" s="44"/>
      <c r="C741" s="44"/>
      <c r="F741" s="15"/>
      <c r="J741" s="29"/>
      <c r="N741" s="30"/>
      <c r="O741" s="14"/>
    </row>
    <row r="742" ht="15.75" customHeight="1">
      <c r="B742" s="44"/>
      <c r="C742" s="44"/>
      <c r="F742" s="15"/>
      <c r="J742" s="29"/>
      <c r="N742" s="30"/>
      <c r="O742" s="14"/>
    </row>
    <row r="743" ht="15.75" customHeight="1">
      <c r="B743" s="44"/>
      <c r="C743" s="44"/>
      <c r="F743" s="15"/>
      <c r="J743" s="29"/>
      <c r="N743" s="30"/>
      <c r="O743" s="14"/>
    </row>
    <row r="744" ht="15.75" customHeight="1">
      <c r="B744" s="44"/>
      <c r="C744" s="44"/>
      <c r="F744" s="15"/>
      <c r="J744" s="29"/>
      <c r="N744" s="30"/>
      <c r="O744" s="14"/>
    </row>
    <row r="745" ht="15.75" customHeight="1">
      <c r="B745" s="44"/>
      <c r="C745" s="44"/>
      <c r="F745" s="15"/>
      <c r="J745" s="29"/>
      <c r="N745" s="30"/>
      <c r="O745" s="14"/>
    </row>
    <row r="746" ht="15.75" customHeight="1">
      <c r="B746" s="44"/>
      <c r="C746" s="44"/>
      <c r="F746" s="15"/>
      <c r="J746" s="29"/>
      <c r="N746" s="30"/>
      <c r="O746" s="14"/>
    </row>
    <row r="747" ht="15.75" customHeight="1">
      <c r="B747" s="44"/>
      <c r="C747" s="44"/>
      <c r="F747" s="15"/>
      <c r="J747" s="29"/>
      <c r="N747" s="30"/>
      <c r="O747" s="14"/>
    </row>
    <row r="748" ht="15.75" customHeight="1">
      <c r="B748" s="44"/>
      <c r="C748" s="44"/>
      <c r="F748" s="15"/>
      <c r="J748" s="29"/>
      <c r="N748" s="30"/>
      <c r="O748" s="14"/>
    </row>
    <row r="749" ht="15.75" customHeight="1">
      <c r="B749" s="44"/>
      <c r="C749" s="44"/>
      <c r="F749" s="15"/>
      <c r="J749" s="29"/>
      <c r="N749" s="30"/>
      <c r="O749" s="14"/>
    </row>
    <row r="750" ht="15.75" customHeight="1">
      <c r="B750" s="44"/>
      <c r="C750" s="44"/>
      <c r="F750" s="15"/>
      <c r="J750" s="29"/>
      <c r="N750" s="30"/>
      <c r="O750" s="14"/>
    </row>
    <row r="751" ht="15.75" customHeight="1">
      <c r="B751" s="44"/>
      <c r="C751" s="44"/>
      <c r="F751" s="15"/>
      <c r="J751" s="29"/>
      <c r="N751" s="30"/>
      <c r="O751" s="14"/>
    </row>
    <row r="752" ht="15.75" customHeight="1">
      <c r="B752" s="44"/>
      <c r="C752" s="44"/>
      <c r="F752" s="15"/>
      <c r="J752" s="29"/>
      <c r="N752" s="30"/>
      <c r="O752" s="14"/>
    </row>
    <row r="753" ht="15.75" customHeight="1">
      <c r="B753" s="44"/>
      <c r="C753" s="44"/>
      <c r="F753" s="15"/>
      <c r="J753" s="29"/>
      <c r="N753" s="30"/>
      <c r="O753" s="14"/>
    </row>
    <row r="754" ht="15.75" customHeight="1">
      <c r="B754" s="44"/>
      <c r="C754" s="44"/>
      <c r="F754" s="15"/>
      <c r="J754" s="29"/>
      <c r="N754" s="30"/>
      <c r="O754" s="14"/>
    </row>
    <row r="755" ht="15.75" customHeight="1">
      <c r="B755" s="44"/>
      <c r="C755" s="44"/>
      <c r="F755" s="15"/>
      <c r="J755" s="29"/>
      <c r="N755" s="30"/>
      <c r="O755" s="14"/>
    </row>
    <row r="756" ht="15.75" customHeight="1">
      <c r="B756" s="44"/>
      <c r="C756" s="44"/>
      <c r="F756" s="15"/>
      <c r="J756" s="29"/>
      <c r="N756" s="30"/>
      <c r="O756" s="14"/>
    </row>
    <row r="757" ht="15.75" customHeight="1">
      <c r="B757" s="44"/>
      <c r="C757" s="44"/>
      <c r="F757" s="15"/>
      <c r="J757" s="29"/>
      <c r="N757" s="30"/>
      <c r="O757" s="14"/>
    </row>
    <row r="758" ht="15.75" customHeight="1">
      <c r="B758" s="44"/>
      <c r="C758" s="44"/>
      <c r="F758" s="15"/>
      <c r="J758" s="29"/>
      <c r="N758" s="30"/>
      <c r="O758" s="14"/>
    </row>
    <row r="759" ht="15.75" customHeight="1">
      <c r="B759" s="44"/>
      <c r="C759" s="44"/>
      <c r="F759" s="15"/>
      <c r="J759" s="29"/>
      <c r="N759" s="30"/>
      <c r="O759" s="14"/>
    </row>
    <row r="760" ht="15.75" customHeight="1">
      <c r="B760" s="44"/>
      <c r="C760" s="44"/>
      <c r="F760" s="15"/>
      <c r="J760" s="29"/>
      <c r="N760" s="30"/>
      <c r="O760" s="14"/>
    </row>
    <row r="761" ht="15.75" customHeight="1">
      <c r="B761" s="44"/>
      <c r="C761" s="44"/>
      <c r="F761" s="15"/>
      <c r="J761" s="29"/>
      <c r="N761" s="30"/>
      <c r="O761" s="14"/>
    </row>
    <row r="762" ht="15.75" customHeight="1">
      <c r="B762" s="44"/>
      <c r="C762" s="44"/>
      <c r="F762" s="15"/>
      <c r="J762" s="29"/>
      <c r="N762" s="30"/>
      <c r="O762" s="14"/>
    </row>
    <row r="763" ht="15.75" customHeight="1">
      <c r="B763" s="44"/>
      <c r="C763" s="44"/>
      <c r="F763" s="15"/>
      <c r="J763" s="29"/>
      <c r="N763" s="30"/>
      <c r="O763" s="14"/>
    </row>
    <row r="764" ht="15.75" customHeight="1">
      <c r="B764" s="44"/>
      <c r="C764" s="44"/>
      <c r="F764" s="15"/>
      <c r="J764" s="29"/>
      <c r="N764" s="30"/>
      <c r="O764" s="14"/>
    </row>
    <row r="765" ht="15.75" customHeight="1">
      <c r="B765" s="44"/>
      <c r="C765" s="44"/>
      <c r="F765" s="15"/>
      <c r="J765" s="29"/>
      <c r="N765" s="30"/>
      <c r="O765" s="14"/>
    </row>
    <row r="766" ht="15.75" customHeight="1">
      <c r="B766" s="44"/>
      <c r="C766" s="44"/>
      <c r="F766" s="15"/>
      <c r="J766" s="29"/>
      <c r="N766" s="30"/>
      <c r="O766" s="14"/>
    </row>
    <row r="767" ht="15.75" customHeight="1">
      <c r="B767" s="44"/>
      <c r="C767" s="44"/>
      <c r="F767" s="15"/>
      <c r="J767" s="29"/>
      <c r="N767" s="30"/>
      <c r="O767" s="14"/>
    </row>
    <row r="768" ht="15.75" customHeight="1">
      <c r="B768" s="44"/>
      <c r="C768" s="44"/>
      <c r="F768" s="15"/>
      <c r="J768" s="29"/>
      <c r="N768" s="30"/>
      <c r="O768" s="14"/>
    </row>
    <row r="769" ht="15.75" customHeight="1">
      <c r="B769" s="44"/>
      <c r="C769" s="44"/>
      <c r="F769" s="15"/>
      <c r="J769" s="29"/>
      <c r="N769" s="30"/>
      <c r="O769" s="14"/>
    </row>
    <row r="770" ht="15.75" customHeight="1">
      <c r="B770" s="44"/>
      <c r="C770" s="44"/>
      <c r="F770" s="15"/>
      <c r="J770" s="29"/>
      <c r="N770" s="30"/>
      <c r="O770" s="14"/>
    </row>
    <row r="771" ht="15.75" customHeight="1">
      <c r="B771" s="44"/>
      <c r="C771" s="44"/>
      <c r="F771" s="15"/>
      <c r="J771" s="29"/>
      <c r="N771" s="30"/>
      <c r="O771" s="14"/>
    </row>
    <row r="772" ht="15.75" customHeight="1">
      <c r="B772" s="44"/>
      <c r="C772" s="44"/>
      <c r="F772" s="15"/>
      <c r="J772" s="29"/>
      <c r="N772" s="30"/>
      <c r="O772" s="14"/>
    </row>
    <row r="773" ht="15.75" customHeight="1">
      <c r="B773" s="44"/>
      <c r="C773" s="44"/>
      <c r="F773" s="15"/>
      <c r="J773" s="29"/>
      <c r="N773" s="30"/>
      <c r="O773" s="14"/>
    </row>
    <row r="774" ht="15.75" customHeight="1">
      <c r="B774" s="44"/>
      <c r="C774" s="44"/>
      <c r="F774" s="15"/>
      <c r="J774" s="29"/>
      <c r="N774" s="30"/>
      <c r="O774" s="14"/>
    </row>
    <row r="775" ht="15.75" customHeight="1">
      <c r="B775" s="44"/>
      <c r="C775" s="44"/>
      <c r="F775" s="15"/>
      <c r="J775" s="29"/>
      <c r="N775" s="30"/>
      <c r="O775" s="14"/>
    </row>
    <row r="776" ht="15.75" customHeight="1">
      <c r="B776" s="44"/>
      <c r="C776" s="44"/>
      <c r="F776" s="15"/>
      <c r="J776" s="29"/>
      <c r="N776" s="30"/>
      <c r="O776" s="14"/>
    </row>
    <row r="777" ht="15.75" customHeight="1">
      <c r="B777" s="44"/>
      <c r="C777" s="44"/>
      <c r="F777" s="15"/>
      <c r="J777" s="29"/>
      <c r="N777" s="30"/>
      <c r="O777" s="14"/>
    </row>
    <row r="778" ht="15.75" customHeight="1">
      <c r="B778" s="44"/>
      <c r="C778" s="44"/>
      <c r="F778" s="15"/>
      <c r="J778" s="29"/>
      <c r="N778" s="30"/>
      <c r="O778" s="14"/>
    </row>
    <row r="779" ht="15.75" customHeight="1">
      <c r="B779" s="44"/>
      <c r="C779" s="44"/>
      <c r="F779" s="15"/>
      <c r="J779" s="29"/>
      <c r="N779" s="30"/>
      <c r="O779" s="14"/>
    </row>
    <row r="780" ht="15.75" customHeight="1">
      <c r="B780" s="44"/>
      <c r="C780" s="44"/>
      <c r="F780" s="15"/>
      <c r="J780" s="29"/>
      <c r="N780" s="30"/>
      <c r="O780" s="14"/>
    </row>
    <row r="781" ht="15.75" customHeight="1">
      <c r="B781" s="44"/>
      <c r="C781" s="44"/>
      <c r="F781" s="15"/>
      <c r="J781" s="29"/>
      <c r="N781" s="30"/>
      <c r="O781" s="14"/>
    </row>
    <row r="782" ht="15.75" customHeight="1">
      <c r="B782" s="44"/>
      <c r="C782" s="44"/>
      <c r="F782" s="15"/>
      <c r="J782" s="29"/>
      <c r="N782" s="30"/>
      <c r="O782" s="14"/>
    </row>
    <row r="783" ht="15.75" customHeight="1">
      <c r="B783" s="44"/>
      <c r="C783" s="44"/>
      <c r="F783" s="15"/>
      <c r="J783" s="29"/>
      <c r="N783" s="30"/>
      <c r="O783" s="14"/>
    </row>
    <row r="784" ht="15.75" customHeight="1">
      <c r="B784" s="44"/>
      <c r="C784" s="44"/>
      <c r="F784" s="15"/>
      <c r="J784" s="29"/>
      <c r="N784" s="30"/>
      <c r="O784" s="14"/>
    </row>
    <row r="785" ht="15.75" customHeight="1">
      <c r="B785" s="44"/>
      <c r="C785" s="44"/>
      <c r="F785" s="15"/>
      <c r="J785" s="29"/>
      <c r="N785" s="30"/>
      <c r="O785" s="14"/>
    </row>
    <row r="786" ht="15.75" customHeight="1">
      <c r="B786" s="44"/>
      <c r="C786" s="44"/>
      <c r="F786" s="15"/>
      <c r="J786" s="29"/>
      <c r="N786" s="30"/>
      <c r="O786" s="14"/>
    </row>
    <row r="787" ht="15.75" customHeight="1">
      <c r="B787" s="44"/>
      <c r="C787" s="44"/>
      <c r="F787" s="15"/>
      <c r="J787" s="29"/>
      <c r="N787" s="30"/>
      <c r="O787" s="14"/>
    </row>
    <row r="788" ht="15.75" customHeight="1">
      <c r="B788" s="44"/>
      <c r="C788" s="44"/>
      <c r="F788" s="15"/>
      <c r="J788" s="29"/>
      <c r="N788" s="30"/>
      <c r="O788" s="14"/>
    </row>
    <row r="789" ht="15.75" customHeight="1">
      <c r="B789" s="44"/>
      <c r="C789" s="44"/>
      <c r="F789" s="15"/>
      <c r="J789" s="29"/>
      <c r="N789" s="30"/>
      <c r="O789" s="14"/>
    </row>
    <row r="790" ht="15.75" customHeight="1">
      <c r="B790" s="44"/>
      <c r="C790" s="44"/>
      <c r="F790" s="15"/>
      <c r="J790" s="29"/>
      <c r="N790" s="30"/>
      <c r="O790" s="14"/>
    </row>
    <row r="791" ht="15.75" customHeight="1">
      <c r="B791" s="44"/>
      <c r="C791" s="44"/>
      <c r="F791" s="15"/>
      <c r="J791" s="29"/>
      <c r="N791" s="30"/>
      <c r="O791" s="14"/>
    </row>
    <row r="792" ht="15.75" customHeight="1">
      <c r="B792" s="44"/>
      <c r="C792" s="44"/>
      <c r="F792" s="15"/>
      <c r="J792" s="29"/>
      <c r="N792" s="30"/>
      <c r="O792" s="14"/>
    </row>
    <row r="793" ht="15.75" customHeight="1">
      <c r="B793" s="44"/>
      <c r="C793" s="44"/>
      <c r="F793" s="15"/>
      <c r="J793" s="29"/>
      <c r="N793" s="30"/>
      <c r="O793" s="14"/>
    </row>
    <row r="794" ht="15.75" customHeight="1">
      <c r="B794" s="44"/>
      <c r="C794" s="44"/>
      <c r="F794" s="15"/>
      <c r="J794" s="29"/>
      <c r="N794" s="30"/>
      <c r="O794" s="14"/>
    </row>
    <row r="795" ht="15.75" customHeight="1">
      <c r="B795" s="44"/>
      <c r="C795" s="44"/>
      <c r="F795" s="15"/>
      <c r="J795" s="29"/>
      <c r="N795" s="30"/>
      <c r="O795" s="14"/>
    </row>
    <row r="796" ht="15.75" customHeight="1">
      <c r="B796" s="44"/>
      <c r="C796" s="44"/>
      <c r="F796" s="15"/>
      <c r="J796" s="29"/>
      <c r="N796" s="30"/>
      <c r="O796" s="14"/>
    </row>
    <row r="797" ht="15.75" customHeight="1">
      <c r="B797" s="44"/>
      <c r="C797" s="44"/>
      <c r="F797" s="15"/>
      <c r="J797" s="29"/>
      <c r="N797" s="30"/>
      <c r="O797" s="14"/>
    </row>
    <row r="798" ht="15.75" customHeight="1">
      <c r="B798" s="44"/>
      <c r="C798" s="44"/>
      <c r="F798" s="15"/>
      <c r="J798" s="29"/>
      <c r="N798" s="30"/>
      <c r="O798" s="14"/>
    </row>
    <row r="799" ht="15.75" customHeight="1">
      <c r="B799" s="44"/>
      <c r="C799" s="44"/>
      <c r="F799" s="15"/>
      <c r="J799" s="29"/>
      <c r="N799" s="30"/>
      <c r="O799" s="14"/>
    </row>
    <row r="800" ht="15.75" customHeight="1">
      <c r="B800" s="44"/>
      <c r="C800" s="44"/>
      <c r="F800" s="15"/>
      <c r="J800" s="29"/>
      <c r="N800" s="30"/>
      <c r="O800" s="14"/>
    </row>
    <row r="801" ht="15.75" customHeight="1">
      <c r="B801" s="44"/>
      <c r="C801" s="44"/>
      <c r="F801" s="15"/>
      <c r="J801" s="29"/>
      <c r="N801" s="30"/>
      <c r="O801" s="14"/>
    </row>
    <row r="802" ht="15.75" customHeight="1">
      <c r="B802" s="44"/>
      <c r="C802" s="44"/>
      <c r="F802" s="15"/>
      <c r="J802" s="29"/>
      <c r="N802" s="30"/>
      <c r="O802" s="14"/>
    </row>
    <row r="803" ht="15.75" customHeight="1">
      <c r="B803" s="44"/>
      <c r="C803" s="44"/>
      <c r="F803" s="15"/>
      <c r="J803" s="29"/>
      <c r="N803" s="30"/>
      <c r="O803" s="14"/>
    </row>
    <row r="804" ht="15.75" customHeight="1">
      <c r="B804" s="44"/>
      <c r="C804" s="44"/>
      <c r="F804" s="15"/>
      <c r="J804" s="29"/>
      <c r="N804" s="30"/>
      <c r="O804" s="14"/>
    </row>
    <row r="805" ht="15.75" customHeight="1">
      <c r="B805" s="44"/>
      <c r="C805" s="44"/>
      <c r="F805" s="15"/>
      <c r="J805" s="29"/>
      <c r="N805" s="30"/>
      <c r="O805" s="14"/>
    </row>
    <row r="806" ht="15.75" customHeight="1">
      <c r="B806" s="44"/>
      <c r="C806" s="44"/>
      <c r="F806" s="15"/>
      <c r="J806" s="29"/>
      <c r="N806" s="30"/>
      <c r="O806" s="14"/>
    </row>
    <row r="807" ht="15.75" customHeight="1">
      <c r="B807" s="44"/>
      <c r="C807" s="44"/>
      <c r="F807" s="15"/>
      <c r="J807" s="29"/>
      <c r="N807" s="30"/>
      <c r="O807" s="14"/>
    </row>
    <row r="808" ht="15.75" customHeight="1">
      <c r="B808" s="44"/>
      <c r="C808" s="44"/>
      <c r="F808" s="15"/>
      <c r="J808" s="29"/>
      <c r="N808" s="30"/>
      <c r="O808" s="14"/>
    </row>
    <row r="809" ht="15.75" customHeight="1">
      <c r="B809" s="44"/>
      <c r="C809" s="44"/>
      <c r="F809" s="15"/>
      <c r="J809" s="29"/>
      <c r="N809" s="30"/>
      <c r="O809" s="14"/>
    </row>
    <row r="810" ht="15.75" customHeight="1">
      <c r="B810" s="44"/>
      <c r="C810" s="44"/>
      <c r="F810" s="15"/>
      <c r="J810" s="29"/>
      <c r="N810" s="30"/>
      <c r="O810" s="14"/>
    </row>
    <row r="811" ht="15.75" customHeight="1">
      <c r="B811" s="44"/>
      <c r="C811" s="44"/>
      <c r="F811" s="15"/>
      <c r="J811" s="29"/>
      <c r="N811" s="30"/>
      <c r="O811" s="14"/>
    </row>
    <row r="812" ht="15.75" customHeight="1">
      <c r="B812" s="44"/>
      <c r="C812" s="44"/>
      <c r="F812" s="15"/>
      <c r="J812" s="29"/>
      <c r="N812" s="30"/>
      <c r="O812" s="14"/>
    </row>
    <row r="813" ht="15.75" customHeight="1">
      <c r="B813" s="44"/>
      <c r="C813" s="44"/>
      <c r="F813" s="15"/>
      <c r="J813" s="29"/>
      <c r="N813" s="30"/>
      <c r="O813" s="14"/>
    </row>
    <row r="814" ht="15.75" customHeight="1">
      <c r="B814" s="44"/>
      <c r="C814" s="44"/>
      <c r="F814" s="15"/>
      <c r="J814" s="29"/>
      <c r="N814" s="30"/>
      <c r="O814" s="14"/>
    </row>
    <row r="815" ht="15.75" customHeight="1">
      <c r="B815" s="44"/>
      <c r="C815" s="44"/>
      <c r="F815" s="15"/>
      <c r="J815" s="29"/>
      <c r="N815" s="30"/>
      <c r="O815" s="14"/>
    </row>
    <row r="816" ht="15.75" customHeight="1">
      <c r="B816" s="44"/>
      <c r="C816" s="44"/>
      <c r="F816" s="15"/>
      <c r="J816" s="29"/>
      <c r="N816" s="30"/>
      <c r="O816" s="14"/>
    </row>
    <row r="817" ht="15.75" customHeight="1">
      <c r="B817" s="44"/>
      <c r="C817" s="44"/>
      <c r="F817" s="15"/>
      <c r="J817" s="29"/>
      <c r="N817" s="30"/>
      <c r="O817" s="14"/>
    </row>
    <row r="818" ht="15.75" customHeight="1">
      <c r="B818" s="44"/>
      <c r="C818" s="44"/>
      <c r="F818" s="15"/>
      <c r="J818" s="29"/>
      <c r="N818" s="30"/>
      <c r="O818" s="14"/>
    </row>
    <row r="819" ht="15.75" customHeight="1">
      <c r="B819" s="44"/>
      <c r="C819" s="44"/>
      <c r="F819" s="15"/>
      <c r="J819" s="29"/>
      <c r="N819" s="30"/>
      <c r="O819" s="14"/>
    </row>
    <row r="820" ht="15.75" customHeight="1">
      <c r="B820" s="44"/>
      <c r="C820" s="44"/>
      <c r="F820" s="15"/>
      <c r="J820" s="29"/>
      <c r="N820" s="30"/>
      <c r="O820" s="14"/>
    </row>
    <row r="821" ht="15.75" customHeight="1">
      <c r="B821" s="44"/>
      <c r="C821" s="44"/>
      <c r="F821" s="15"/>
      <c r="J821" s="29"/>
      <c r="N821" s="30"/>
      <c r="O821" s="14"/>
    </row>
    <row r="822" ht="15.75" customHeight="1">
      <c r="B822" s="44"/>
      <c r="C822" s="44"/>
      <c r="F822" s="15"/>
      <c r="J822" s="29"/>
      <c r="N822" s="30"/>
      <c r="O822" s="14"/>
    </row>
    <row r="823" ht="15.75" customHeight="1">
      <c r="B823" s="44"/>
      <c r="C823" s="44"/>
      <c r="F823" s="15"/>
      <c r="J823" s="29"/>
      <c r="N823" s="30"/>
      <c r="O823" s="14"/>
    </row>
    <row r="824" ht="15.75" customHeight="1">
      <c r="B824" s="44"/>
      <c r="C824" s="44"/>
      <c r="F824" s="15"/>
      <c r="J824" s="29"/>
      <c r="N824" s="30"/>
      <c r="O824" s="14"/>
    </row>
    <row r="825" ht="15.75" customHeight="1">
      <c r="B825" s="44"/>
      <c r="C825" s="44"/>
      <c r="F825" s="15"/>
      <c r="J825" s="29"/>
      <c r="N825" s="30"/>
      <c r="O825" s="14"/>
    </row>
    <row r="826" ht="15.75" customHeight="1">
      <c r="B826" s="44"/>
      <c r="C826" s="44"/>
      <c r="F826" s="15"/>
      <c r="J826" s="29"/>
      <c r="N826" s="30"/>
      <c r="O826" s="14"/>
    </row>
    <row r="827" ht="15.75" customHeight="1">
      <c r="B827" s="44"/>
      <c r="C827" s="44"/>
      <c r="F827" s="15"/>
      <c r="J827" s="29"/>
      <c r="N827" s="30"/>
      <c r="O827" s="14"/>
    </row>
    <row r="828" ht="15.75" customHeight="1">
      <c r="B828" s="44"/>
      <c r="C828" s="44"/>
      <c r="F828" s="15"/>
      <c r="J828" s="29"/>
      <c r="N828" s="30"/>
      <c r="O828" s="14"/>
    </row>
    <row r="829" ht="15.75" customHeight="1">
      <c r="B829" s="44"/>
      <c r="C829" s="44"/>
      <c r="F829" s="15"/>
      <c r="J829" s="29"/>
      <c r="N829" s="30"/>
      <c r="O829" s="14"/>
    </row>
    <row r="830" ht="15.75" customHeight="1">
      <c r="B830" s="44"/>
      <c r="C830" s="44"/>
      <c r="F830" s="15"/>
      <c r="J830" s="29"/>
      <c r="N830" s="30"/>
      <c r="O830" s="14"/>
    </row>
    <row r="831" ht="15.75" customHeight="1">
      <c r="B831" s="44"/>
      <c r="C831" s="44"/>
      <c r="F831" s="15"/>
      <c r="J831" s="29"/>
      <c r="N831" s="30"/>
      <c r="O831" s="14"/>
    </row>
    <row r="832" ht="15.75" customHeight="1">
      <c r="B832" s="44"/>
      <c r="C832" s="44"/>
      <c r="F832" s="15"/>
      <c r="J832" s="29"/>
      <c r="N832" s="30"/>
      <c r="O832" s="14"/>
    </row>
    <row r="833" ht="15.75" customHeight="1">
      <c r="B833" s="44"/>
      <c r="C833" s="44"/>
      <c r="F833" s="15"/>
      <c r="J833" s="29"/>
      <c r="N833" s="30"/>
      <c r="O833" s="14"/>
    </row>
    <row r="834" ht="15.75" customHeight="1">
      <c r="B834" s="44"/>
      <c r="C834" s="44"/>
      <c r="F834" s="15"/>
      <c r="J834" s="29"/>
      <c r="N834" s="30"/>
      <c r="O834" s="14"/>
    </row>
    <row r="835" ht="15.75" customHeight="1">
      <c r="B835" s="44"/>
      <c r="C835" s="44"/>
      <c r="F835" s="15"/>
      <c r="J835" s="29"/>
      <c r="N835" s="30"/>
      <c r="O835" s="14"/>
    </row>
    <row r="836" ht="15.75" customHeight="1">
      <c r="B836" s="44"/>
      <c r="C836" s="44"/>
      <c r="F836" s="15"/>
      <c r="J836" s="29"/>
      <c r="N836" s="30"/>
      <c r="O836" s="14"/>
    </row>
    <row r="837" ht="15.75" customHeight="1">
      <c r="B837" s="44"/>
      <c r="C837" s="44"/>
      <c r="F837" s="15"/>
      <c r="J837" s="29"/>
      <c r="N837" s="30"/>
      <c r="O837" s="14"/>
    </row>
    <row r="838" ht="15.75" customHeight="1">
      <c r="B838" s="44"/>
      <c r="C838" s="44"/>
      <c r="F838" s="15"/>
      <c r="J838" s="29"/>
      <c r="N838" s="30"/>
      <c r="O838" s="14"/>
    </row>
    <row r="839" ht="15.75" customHeight="1">
      <c r="B839" s="44"/>
      <c r="C839" s="44"/>
      <c r="F839" s="15"/>
      <c r="J839" s="29"/>
      <c r="N839" s="30"/>
      <c r="O839" s="14"/>
    </row>
    <row r="840" ht="15.75" customHeight="1">
      <c r="B840" s="44"/>
      <c r="C840" s="44"/>
      <c r="F840" s="15"/>
      <c r="J840" s="29"/>
      <c r="N840" s="30"/>
      <c r="O840" s="14"/>
    </row>
    <row r="841" ht="15.75" customHeight="1">
      <c r="B841" s="44"/>
      <c r="C841" s="44"/>
      <c r="F841" s="15"/>
      <c r="J841" s="29"/>
      <c r="N841" s="30"/>
      <c r="O841" s="14"/>
    </row>
    <row r="842" ht="15.75" customHeight="1">
      <c r="B842" s="44"/>
      <c r="C842" s="44"/>
      <c r="F842" s="15"/>
      <c r="J842" s="29"/>
      <c r="N842" s="30"/>
      <c r="O842" s="14"/>
    </row>
    <row r="843" ht="15.75" customHeight="1">
      <c r="B843" s="44"/>
      <c r="C843" s="44"/>
      <c r="F843" s="15"/>
      <c r="J843" s="29"/>
      <c r="N843" s="30"/>
      <c r="O843" s="14"/>
    </row>
    <row r="844" ht="15.75" customHeight="1">
      <c r="B844" s="44"/>
      <c r="C844" s="44"/>
      <c r="F844" s="15"/>
      <c r="J844" s="29"/>
      <c r="N844" s="30"/>
      <c r="O844" s="14"/>
    </row>
    <row r="845" ht="15.75" customHeight="1">
      <c r="B845" s="44"/>
      <c r="C845" s="44"/>
      <c r="F845" s="15"/>
      <c r="J845" s="29"/>
      <c r="N845" s="30"/>
      <c r="O845" s="14"/>
    </row>
    <row r="846" ht="15.75" customHeight="1">
      <c r="B846" s="44"/>
      <c r="C846" s="44"/>
      <c r="F846" s="15"/>
      <c r="J846" s="29"/>
      <c r="N846" s="30"/>
      <c r="O846" s="14"/>
    </row>
    <row r="847" ht="15.75" customHeight="1">
      <c r="B847" s="44"/>
      <c r="C847" s="44"/>
      <c r="F847" s="15"/>
      <c r="J847" s="29"/>
      <c r="N847" s="30"/>
      <c r="O847" s="14"/>
    </row>
    <row r="848" ht="15.75" customHeight="1">
      <c r="B848" s="44"/>
      <c r="C848" s="44"/>
      <c r="F848" s="15"/>
      <c r="J848" s="29"/>
      <c r="N848" s="30"/>
      <c r="O848" s="14"/>
    </row>
    <row r="849" ht="15.75" customHeight="1">
      <c r="B849" s="44"/>
      <c r="C849" s="44"/>
      <c r="F849" s="15"/>
      <c r="J849" s="29"/>
      <c r="N849" s="30"/>
      <c r="O849" s="14"/>
    </row>
    <row r="850" ht="15.75" customHeight="1">
      <c r="B850" s="44"/>
      <c r="C850" s="44"/>
      <c r="F850" s="15"/>
      <c r="J850" s="29"/>
      <c r="N850" s="30"/>
      <c r="O850" s="14"/>
    </row>
    <row r="851" ht="15.75" customHeight="1">
      <c r="B851" s="44"/>
      <c r="C851" s="44"/>
      <c r="F851" s="15"/>
      <c r="J851" s="29"/>
      <c r="N851" s="30"/>
      <c r="O851" s="14"/>
    </row>
    <row r="852" ht="15.75" customHeight="1">
      <c r="B852" s="44"/>
      <c r="C852" s="44"/>
      <c r="F852" s="15"/>
      <c r="J852" s="29"/>
      <c r="N852" s="30"/>
      <c r="O852" s="14"/>
    </row>
    <row r="853" ht="15.75" customHeight="1">
      <c r="B853" s="44"/>
      <c r="C853" s="44"/>
      <c r="F853" s="15"/>
      <c r="J853" s="29"/>
      <c r="N853" s="30"/>
      <c r="O853" s="14"/>
    </row>
    <row r="854" ht="15.75" customHeight="1">
      <c r="B854" s="44"/>
      <c r="C854" s="44"/>
      <c r="F854" s="15"/>
      <c r="J854" s="29"/>
      <c r="N854" s="30"/>
      <c r="O854" s="14"/>
    </row>
    <row r="855" ht="15.75" customHeight="1">
      <c r="B855" s="44"/>
      <c r="C855" s="44"/>
      <c r="F855" s="15"/>
      <c r="J855" s="29"/>
      <c r="N855" s="30"/>
      <c r="O855" s="14"/>
    </row>
    <row r="856" ht="15.75" customHeight="1">
      <c r="B856" s="44"/>
      <c r="C856" s="44"/>
      <c r="F856" s="15"/>
      <c r="J856" s="29"/>
      <c r="N856" s="30"/>
      <c r="O856" s="14"/>
    </row>
    <row r="857" ht="15.75" customHeight="1">
      <c r="B857" s="44"/>
      <c r="C857" s="44"/>
      <c r="F857" s="15"/>
      <c r="J857" s="29"/>
      <c r="N857" s="30"/>
      <c r="O857" s="14"/>
    </row>
    <row r="858" ht="15.75" customHeight="1">
      <c r="B858" s="44"/>
      <c r="C858" s="44"/>
      <c r="F858" s="15"/>
      <c r="J858" s="29"/>
      <c r="N858" s="30"/>
      <c r="O858" s="14"/>
    </row>
    <row r="859" ht="15.75" customHeight="1">
      <c r="B859" s="44"/>
      <c r="C859" s="44"/>
      <c r="F859" s="15"/>
      <c r="J859" s="29"/>
      <c r="N859" s="30"/>
      <c r="O859" s="14"/>
    </row>
    <row r="860" ht="15.75" customHeight="1">
      <c r="B860" s="44"/>
      <c r="C860" s="44"/>
      <c r="F860" s="15"/>
      <c r="J860" s="29"/>
      <c r="N860" s="30"/>
      <c r="O860" s="14"/>
    </row>
    <row r="861" ht="15.75" customHeight="1">
      <c r="B861" s="44"/>
      <c r="C861" s="44"/>
      <c r="F861" s="15"/>
      <c r="J861" s="29"/>
      <c r="N861" s="30"/>
      <c r="O861" s="14"/>
    </row>
    <row r="862" ht="15.75" customHeight="1">
      <c r="B862" s="44"/>
      <c r="C862" s="44"/>
      <c r="F862" s="15"/>
      <c r="J862" s="29"/>
      <c r="N862" s="30"/>
      <c r="O862" s="14"/>
    </row>
    <row r="863" ht="15.75" customHeight="1">
      <c r="B863" s="44"/>
      <c r="C863" s="44"/>
      <c r="F863" s="15"/>
      <c r="J863" s="29"/>
      <c r="N863" s="30"/>
      <c r="O863" s="14"/>
    </row>
    <row r="864" ht="15.75" customHeight="1">
      <c r="B864" s="44"/>
      <c r="C864" s="44"/>
      <c r="F864" s="15"/>
      <c r="J864" s="29"/>
      <c r="N864" s="30"/>
      <c r="O864" s="14"/>
    </row>
    <row r="865" ht="15.75" customHeight="1">
      <c r="B865" s="44"/>
      <c r="C865" s="44"/>
      <c r="F865" s="15"/>
      <c r="J865" s="29"/>
      <c r="N865" s="30"/>
      <c r="O865" s="14"/>
    </row>
    <row r="866" ht="15.75" customHeight="1">
      <c r="B866" s="44"/>
      <c r="C866" s="44"/>
      <c r="F866" s="15"/>
      <c r="J866" s="29"/>
      <c r="N866" s="30"/>
      <c r="O866" s="14"/>
    </row>
    <row r="867" ht="15.75" customHeight="1">
      <c r="B867" s="44"/>
      <c r="C867" s="44"/>
      <c r="F867" s="15"/>
      <c r="J867" s="29"/>
      <c r="N867" s="30"/>
      <c r="O867" s="14"/>
    </row>
    <row r="868" ht="15.75" customHeight="1">
      <c r="B868" s="44"/>
      <c r="C868" s="44"/>
      <c r="F868" s="15"/>
      <c r="J868" s="29"/>
      <c r="N868" s="30"/>
      <c r="O868" s="14"/>
    </row>
    <row r="869" ht="15.75" customHeight="1">
      <c r="B869" s="44"/>
      <c r="C869" s="44"/>
      <c r="F869" s="15"/>
      <c r="J869" s="29"/>
      <c r="N869" s="30"/>
      <c r="O869" s="14"/>
    </row>
    <row r="870" ht="15.75" customHeight="1">
      <c r="B870" s="44"/>
      <c r="C870" s="44"/>
      <c r="F870" s="15"/>
      <c r="J870" s="29"/>
      <c r="N870" s="30"/>
      <c r="O870" s="14"/>
    </row>
    <row r="871" ht="15.75" customHeight="1">
      <c r="B871" s="44"/>
      <c r="C871" s="44"/>
      <c r="F871" s="15"/>
      <c r="J871" s="29"/>
      <c r="N871" s="30"/>
      <c r="O871" s="14"/>
    </row>
    <row r="872" ht="15.75" customHeight="1">
      <c r="B872" s="44"/>
      <c r="C872" s="44"/>
      <c r="F872" s="15"/>
      <c r="J872" s="29"/>
      <c r="N872" s="30"/>
      <c r="O872" s="14"/>
    </row>
    <row r="873" ht="15.75" customHeight="1">
      <c r="B873" s="44"/>
      <c r="C873" s="44"/>
      <c r="F873" s="15"/>
      <c r="J873" s="29"/>
      <c r="N873" s="30"/>
      <c r="O873" s="14"/>
    </row>
    <row r="874" ht="15.75" customHeight="1">
      <c r="B874" s="44"/>
      <c r="C874" s="44"/>
      <c r="F874" s="15"/>
      <c r="J874" s="29"/>
      <c r="N874" s="30"/>
      <c r="O874" s="14"/>
    </row>
    <row r="875" ht="15.75" customHeight="1">
      <c r="B875" s="44"/>
      <c r="C875" s="44"/>
      <c r="F875" s="15"/>
      <c r="J875" s="29"/>
      <c r="N875" s="30"/>
      <c r="O875" s="14"/>
    </row>
    <row r="876" ht="15.75" customHeight="1">
      <c r="B876" s="44"/>
      <c r="C876" s="44"/>
      <c r="F876" s="15"/>
      <c r="J876" s="29"/>
      <c r="N876" s="30"/>
      <c r="O876" s="14"/>
    </row>
    <row r="877" ht="15.75" customHeight="1">
      <c r="B877" s="44"/>
      <c r="C877" s="44"/>
      <c r="F877" s="15"/>
      <c r="J877" s="29"/>
      <c r="N877" s="30"/>
      <c r="O877" s="14"/>
    </row>
    <row r="878" ht="15.75" customHeight="1">
      <c r="B878" s="44"/>
      <c r="C878" s="44"/>
      <c r="F878" s="15"/>
      <c r="J878" s="29"/>
      <c r="N878" s="30"/>
      <c r="O878" s="14"/>
    </row>
    <row r="879" ht="15.75" customHeight="1">
      <c r="B879" s="44"/>
      <c r="C879" s="44"/>
      <c r="F879" s="15"/>
      <c r="J879" s="29"/>
      <c r="N879" s="30"/>
      <c r="O879" s="14"/>
    </row>
    <row r="880" ht="15.75" customHeight="1">
      <c r="B880" s="44"/>
      <c r="C880" s="44"/>
      <c r="F880" s="15"/>
      <c r="J880" s="29"/>
      <c r="N880" s="30"/>
      <c r="O880" s="14"/>
    </row>
    <row r="881" ht="15.75" customHeight="1">
      <c r="B881" s="44"/>
      <c r="C881" s="44"/>
      <c r="F881" s="15"/>
      <c r="J881" s="29"/>
      <c r="N881" s="30"/>
      <c r="O881" s="14"/>
    </row>
    <row r="882" ht="15.75" customHeight="1">
      <c r="B882" s="44"/>
      <c r="C882" s="44"/>
      <c r="F882" s="15"/>
      <c r="J882" s="29"/>
      <c r="N882" s="30"/>
      <c r="O882" s="14"/>
    </row>
    <row r="883" ht="15.75" customHeight="1">
      <c r="B883" s="44"/>
      <c r="C883" s="44"/>
      <c r="F883" s="15"/>
      <c r="J883" s="29"/>
      <c r="N883" s="30"/>
      <c r="O883" s="14"/>
    </row>
    <row r="884" ht="15.75" customHeight="1">
      <c r="B884" s="44"/>
      <c r="C884" s="44"/>
      <c r="F884" s="15"/>
      <c r="J884" s="29"/>
      <c r="N884" s="30"/>
      <c r="O884" s="14"/>
    </row>
    <row r="885" ht="15.75" customHeight="1">
      <c r="B885" s="44"/>
      <c r="C885" s="44"/>
      <c r="F885" s="15"/>
      <c r="J885" s="29"/>
      <c r="N885" s="30"/>
      <c r="O885" s="14"/>
    </row>
    <row r="886" ht="15.75" customHeight="1">
      <c r="B886" s="44"/>
      <c r="C886" s="44"/>
      <c r="F886" s="15"/>
      <c r="J886" s="29"/>
      <c r="N886" s="30"/>
      <c r="O886" s="14"/>
    </row>
    <row r="887" ht="15.75" customHeight="1">
      <c r="B887" s="44"/>
      <c r="C887" s="44"/>
      <c r="F887" s="15"/>
      <c r="J887" s="29"/>
      <c r="N887" s="30"/>
      <c r="O887" s="14"/>
    </row>
    <row r="888" ht="15.75" customHeight="1">
      <c r="B888" s="44"/>
      <c r="C888" s="44"/>
      <c r="F888" s="15"/>
      <c r="J888" s="29"/>
      <c r="N888" s="30"/>
      <c r="O888" s="14"/>
    </row>
    <row r="889" ht="15.75" customHeight="1">
      <c r="B889" s="44"/>
      <c r="C889" s="44"/>
      <c r="F889" s="15"/>
      <c r="J889" s="29"/>
      <c r="N889" s="30"/>
      <c r="O889" s="14"/>
    </row>
    <row r="890" ht="15.75" customHeight="1">
      <c r="B890" s="44"/>
      <c r="C890" s="44"/>
      <c r="F890" s="15"/>
      <c r="J890" s="29"/>
      <c r="N890" s="30"/>
      <c r="O890" s="14"/>
    </row>
    <row r="891" ht="15.75" customHeight="1">
      <c r="B891" s="44"/>
      <c r="C891" s="44"/>
      <c r="F891" s="15"/>
      <c r="J891" s="29"/>
      <c r="N891" s="30"/>
      <c r="O891" s="14"/>
    </row>
    <row r="892" ht="15.75" customHeight="1">
      <c r="B892" s="44"/>
      <c r="C892" s="44"/>
      <c r="F892" s="15"/>
      <c r="J892" s="29"/>
      <c r="N892" s="30"/>
      <c r="O892" s="14"/>
    </row>
    <row r="893" ht="15.75" customHeight="1">
      <c r="B893" s="44"/>
      <c r="C893" s="44"/>
      <c r="F893" s="15"/>
      <c r="J893" s="29"/>
      <c r="N893" s="30"/>
      <c r="O893" s="14"/>
    </row>
    <row r="894" ht="15.75" customHeight="1">
      <c r="B894" s="44"/>
      <c r="C894" s="44"/>
      <c r="F894" s="15"/>
      <c r="J894" s="29"/>
      <c r="N894" s="30"/>
      <c r="O894" s="14"/>
    </row>
    <row r="895" ht="15.75" customHeight="1">
      <c r="B895" s="44"/>
      <c r="C895" s="44"/>
      <c r="F895" s="15"/>
      <c r="J895" s="29"/>
      <c r="N895" s="30"/>
      <c r="O895" s="14"/>
    </row>
    <row r="896" ht="15.75" customHeight="1">
      <c r="B896" s="44"/>
      <c r="C896" s="44"/>
      <c r="F896" s="15"/>
      <c r="J896" s="29"/>
      <c r="N896" s="30"/>
      <c r="O896" s="14"/>
    </row>
    <row r="897" ht="15.75" customHeight="1">
      <c r="B897" s="44"/>
      <c r="C897" s="44"/>
      <c r="F897" s="15"/>
      <c r="J897" s="29"/>
      <c r="N897" s="30"/>
      <c r="O897" s="14"/>
    </row>
    <row r="898" ht="15.75" customHeight="1">
      <c r="B898" s="44"/>
      <c r="C898" s="44"/>
      <c r="F898" s="15"/>
      <c r="J898" s="29"/>
      <c r="N898" s="30"/>
      <c r="O898" s="14"/>
    </row>
    <row r="899" ht="15.75" customHeight="1">
      <c r="B899" s="44"/>
      <c r="C899" s="44"/>
      <c r="F899" s="15"/>
      <c r="J899" s="29"/>
      <c r="N899" s="30"/>
      <c r="O899" s="14"/>
    </row>
    <row r="900" ht="15.75" customHeight="1">
      <c r="B900" s="44"/>
      <c r="C900" s="44"/>
      <c r="F900" s="15"/>
      <c r="J900" s="29"/>
      <c r="N900" s="30"/>
      <c r="O900" s="14"/>
    </row>
    <row r="901" ht="15.75" customHeight="1">
      <c r="B901" s="44"/>
      <c r="C901" s="44"/>
      <c r="F901" s="15"/>
      <c r="J901" s="29"/>
      <c r="N901" s="30"/>
      <c r="O901" s="14"/>
    </row>
    <row r="902" ht="15.75" customHeight="1">
      <c r="B902" s="44"/>
      <c r="C902" s="44"/>
      <c r="F902" s="15"/>
      <c r="J902" s="29"/>
      <c r="N902" s="30"/>
      <c r="O902" s="14"/>
    </row>
    <row r="903" ht="15.75" customHeight="1">
      <c r="B903" s="44"/>
      <c r="C903" s="44"/>
      <c r="F903" s="15"/>
      <c r="J903" s="29"/>
      <c r="N903" s="30"/>
      <c r="O903" s="14"/>
    </row>
    <row r="904" ht="15.75" customHeight="1">
      <c r="B904" s="44"/>
      <c r="C904" s="44"/>
      <c r="F904" s="15"/>
      <c r="J904" s="29"/>
      <c r="N904" s="30"/>
      <c r="O904" s="14"/>
    </row>
    <row r="905" ht="15.75" customHeight="1">
      <c r="B905" s="44"/>
      <c r="C905" s="44"/>
      <c r="F905" s="15"/>
      <c r="J905" s="29"/>
      <c r="N905" s="30"/>
      <c r="O905" s="14"/>
    </row>
    <row r="906" ht="15.75" customHeight="1">
      <c r="B906" s="44"/>
      <c r="C906" s="44"/>
      <c r="F906" s="15"/>
      <c r="J906" s="29"/>
      <c r="N906" s="30"/>
      <c r="O906" s="14"/>
    </row>
    <row r="907" ht="15.75" customHeight="1">
      <c r="B907" s="44"/>
      <c r="C907" s="44"/>
      <c r="F907" s="15"/>
      <c r="J907" s="29"/>
      <c r="N907" s="30"/>
      <c r="O907" s="14"/>
    </row>
    <row r="908" ht="15.75" customHeight="1">
      <c r="B908" s="44"/>
      <c r="C908" s="44"/>
      <c r="F908" s="15"/>
      <c r="J908" s="29"/>
      <c r="N908" s="30"/>
      <c r="O908" s="14"/>
    </row>
    <row r="909" ht="15.75" customHeight="1">
      <c r="B909" s="44"/>
      <c r="C909" s="44"/>
      <c r="F909" s="15"/>
      <c r="J909" s="29"/>
      <c r="N909" s="30"/>
      <c r="O909" s="14"/>
    </row>
    <row r="910" ht="15.75" customHeight="1">
      <c r="B910" s="44"/>
      <c r="C910" s="44"/>
      <c r="F910" s="15"/>
      <c r="J910" s="29"/>
      <c r="N910" s="30"/>
      <c r="O910" s="14"/>
    </row>
    <row r="911" ht="15.75" customHeight="1">
      <c r="B911" s="44"/>
      <c r="C911" s="44"/>
      <c r="F911" s="15"/>
      <c r="J911" s="29"/>
      <c r="N911" s="30"/>
      <c r="O911" s="14"/>
    </row>
    <row r="912" ht="15.75" customHeight="1">
      <c r="B912" s="44"/>
      <c r="C912" s="44"/>
      <c r="F912" s="15"/>
      <c r="J912" s="29"/>
      <c r="N912" s="30"/>
      <c r="O912" s="14"/>
    </row>
    <row r="913" ht="15.75" customHeight="1">
      <c r="B913" s="44"/>
      <c r="C913" s="44"/>
      <c r="F913" s="15"/>
      <c r="J913" s="29"/>
      <c r="N913" s="30"/>
      <c r="O913" s="14"/>
    </row>
    <row r="914" ht="15.75" customHeight="1">
      <c r="B914" s="44"/>
      <c r="C914" s="44"/>
      <c r="F914" s="15"/>
      <c r="J914" s="29"/>
      <c r="N914" s="30"/>
      <c r="O914" s="14"/>
    </row>
    <row r="915" ht="15.75" customHeight="1">
      <c r="B915" s="44"/>
      <c r="C915" s="44"/>
      <c r="F915" s="15"/>
      <c r="J915" s="29"/>
      <c r="N915" s="30"/>
      <c r="O915" s="14"/>
    </row>
    <row r="916" ht="15.75" customHeight="1">
      <c r="B916" s="44"/>
      <c r="C916" s="44"/>
      <c r="F916" s="15"/>
      <c r="J916" s="29"/>
      <c r="N916" s="30"/>
      <c r="O916" s="14"/>
    </row>
    <row r="917" ht="15.75" customHeight="1">
      <c r="B917" s="44"/>
      <c r="C917" s="44"/>
      <c r="F917" s="15"/>
      <c r="J917" s="29"/>
      <c r="N917" s="30"/>
      <c r="O917" s="14"/>
    </row>
    <row r="918" ht="15.75" customHeight="1">
      <c r="B918" s="44"/>
      <c r="C918" s="44"/>
      <c r="F918" s="15"/>
      <c r="J918" s="29"/>
      <c r="N918" s="30"/>
      <c r="O918" s="14"/>
    </row>
    <row r="919" ht="15.75" customHeight="1">
      <c r="B919" s="44"/>
      <c r="C919" s="44"/>
      <c r="F919" s="15"/>
      <c r="J919" s="29"/>
      <c r="N919" s="30"/>
      <c r="O919" s="14"/>
    </row>
    <row r="920" ht="15.75" customHeight="1">
      <c r="B920" s="44"/>
      <c r="C920" s="44"/>
      <c r="F920" s="15"/>
      <c r="J920" s="29"/>
      <c r="N920" s="30"/>
      <c r="O920" s="14"/>
    </row>
    <row r="921" ht="15.75" customHeight="1">
      <c r="B921" s="44"/>
      <c r="C921" s="44"/>
      <c r="F921" s="15"/>
      <c r="J921" s="29"/>
      <c r="N921" s="30"/>
      <c r="O921" s="14"/>
    </row>
    <row r="922" ht="15.75" customHeight="1">
      <c r="B922" s="44"/>
      <c r="C922" s="44"/>
      <c r="F922" s="15"/>
      <c r="J922" s="29"/>
      <c r="N922" s="30"/>
      <c r="O922" s="14"/>
    </row>
    <row r="923" ht="15.75" customHeight="1">
      <c r="B923" s="44"/>
      <c r="C923" s="44"/>
      <c r="F923" s="15"/>
      <c r="J923" s="29"/>
      <c r="N923" s="30"/>
      <c r="O923" s="14"/>
    </row>
    <row r="924" ht="15.75" customHeight="1">
      <c r="B924" s="44"/>
      <c r="C924" s="44"/>
      <c r="F924" s="15"/>
      <c r="J924" s="29"/>
      <c r="N924" s="30"/>
      <c r="O924" s="14"/>
    </row>
    <row r="925" ht="15.75" customHeight="1">
      <c r="B925" s="44"/>
      <c r="C925" s="44"/>
      <c r="F925" s="15"/>
      <c r="J925" s="29"/>
      <c r="N925" s="30"/>
      <c r="O925" s="14"/>
    </row>
    <row r="926" ht="15.75" customHeight="1">
      <c r="B926" s="44"/>
      <c r="C926" s="44"/>
      <c r="F926" s="15"/>
      <c r="J926" s="29"/>
      <c r="N926" s="30"/>
      <c r="O926" s="14"/>
    </row>
    <row r="927" ht="15.75" customHeight="1">
      <c r="B927" s="44"/>
      <c r="C927" s="44"/>
      <c r="F927" s="15"/>
      <c r="J927" s="29"/>
      <c r="N927" s="30"/>
      <c r="O927" s="14"/>
    </row>
    <row r="928" ht="15.75" customHeight="1">
      <c r="B928" s="44"/>
      <c r="C928" s="44"/>
      <c r="F928" s="15"/>
      <c r="J928" s="29"/>
      <c r="N928" s="30"/>
      <c r="O928" s="14"/>
    </row>
    <row r="929" ht="15.75" customHeight="1">
      <c r="B929" s="44"/>
      <c r="C929" s="44"/>
      <c r="F929" s="15"/>
      <c r="J929" s="29"/>
      <c r="N929" s="30"/>
      <c r="O929" s="14"/>
    </row>
    <row r="930" ht="15.75" customHeight="1">
      <c r="B930" s="44"/>
      <c r="C930" s="44"/>
      <c r="F930" s="15"/>
      <c r="J930" s="29"/>
      <c r="N930" s="30"/>
      <c r="O930" s="14"/>
    </row>
    <row r="931" ht="15.75" customHeight="1">
      <c r="B931" s="44"/>
      <c r="C931" s="44"/>
      <c r="F931" s="15"/>
      <c r="J931" s="29"/>
      <c r="N931" s="30"/>
      <c r="O931" s="14"/>
    </row>
    <row r="932" ht="15.75" customHeight="1">
      <c r="B932" s="44"/>
      <c r="C932" s="44"/>
      <c r="F932" s="15"/>
      <c r="J932" s="29"/>
      <c r="N932" s="30"/>
      <c r="O932" s="14"/>
    </row>
    <row r="933" ht="15.75" customHeight="1">
      <c r="B933" s="44"/>
      <c r="C933" s="44"/>
      <c r="F933" s="15"/>
      <c r="J933" s="29"/>
      <c r="N933" s="30"/>
      <c r="O933" s="14"/>
    </row>
    <row r="934" ht="15.75" customHeight="1">
      <c r="B934" s="44"/>
      <c r="C934" s="44"/>
      <c r="F934" s="15"/>
      <c r="J934" s="29"/>
      <c r="N934" s="30"/>
      <c r="O934" s="14"/>
    </row>
    <row r="935" ht="15.75" customHeight="1">
      <c r="B935" s="44"/>
      <c r="C935" s="44"/>
      <c r="F935" s="15"/>
      <c r="J935" s="29"/>
      <c r="N935" s="30"/>
      <c r="O935" s="14"/>
    </row>
    <row r="936" ht="15.75" customHeight="1">
      <c r="B936" s="44"/>
      <c r="C936" s="44"/>
      <c r="F936" s="15"/>
      <c r="J936" s="29"/>
      <c r="N936" s="30"/>
      <c r="O936" s="14"/>
    </row>
    <row r="937" ht="15.75" customHeight="1">
      <c r="B937" s="44"/>
      <c r="C937" s="44"/>
      <c r="F937" s="15"/>
      <c r="J937" s="29"/>
      <c r="N937" s="30"/>
      <c r="O937" s="14"/>
    </row>
    <row r="938" ht="15.75" customHeight="1">
      <c r="B938" s="44"/>
      <c r="C938" s="44"/>
      <c r="F938" s="15"/>
      <c r="J938" s="29"/>
      <c r="N938" s="30"/>
      <c r="O938" s="14"/>
    </row>
    <row r="939" ht="15.75" customHeight="1">
      <c r="B939" s="44"/>
      <c r="C939" s="44"/>
      <c r="F939" s="15"/>
      <c r="J939" s="29"/>
      <c r="N939" s="30"/>
      <c r="O939" s="14"/>
    </row>
    <row r="940" ht="15.75" customHeight="1">
      <c r="B940" s="44"/>
      <c r="C940" s="44"/>
      <c r="F940" s="15"/>
      <c r="J940" s="29"/>
      <c r="N940" s="30"/>
      <c r="O940" s="14"/>
    </row>
    <row r="941" ht="15.75" customHeight="1">
      <c r="B941" s="44"/>
      <c r="C941" s="44"/>
      <c r="F941" s="15"/>
      <c r="J941" s="29"/>
      <c r="N941" s="30"/>
      <c r="O941" s="14"/>
    </row>
    <row r="942" ht="15.75" customHeight="1">
      <c r="B942" s="44"/>
      <c r="C942" s="44"/>
      <c r="F942" s="15"/>
      <c r="J942" s="29"/>
      <c r="N942" s="30"/>
      <c r="O942" s="14"/>
    </row>
    <row r="943" ht="15.75" customHeight="1">
      <c r="B943" s="44"/>
      <c r="C943" s="44"/>
      <c r="F943" s="15"/>
      <c r="J943" s="29"/>
      <c r="N943" s="30"/>
      <c r="O943" s="14"/>
    </row>
    <row r="944" ht="15.75" customHeight="1">
      <c r="B944" s="44"/>
      <c r="C944" s="44"/>
      <c r="F944" s="15"/>
      <c r="J944" s="29"/>
      <c r="N944" s="30"/>
      <c r="O944" s="14"/>
    </row>
    <row r="945" ht="15.75" customHeight="1">
      <c r="B945" s="44"/>
      <c r="C945" s="44"/>
      <c r="F945" s="15"/>
      <c r="J945" s="29"/>
      <c r="N945" s="30"/>
      <c r="O945" s="14"/>
    </row>
    <row r="946" ht="15.75" customHeight="1">
      <c r="B946" s="44"/>
      <c r="C946" s="44"/>
      <c r="F946" s="15"/>
      <c r="J946" s="29"/>
      <c r="N946" s="30"/>
      <c r="O946" s="14"/>
    </row>
    <row r="947" ht="15.75" customHeight="1">
      <c r="B947" s="44"/>
      <c r="C947" s="44"/>
      <c r="F947" s="15"/>
      <c r="J947" s="29"/>
      <c r="N947" s="30"/>
      <c r="O947" s="14"/>
    </row>
    <row r="948" ht="15.75" customHeight="1">
      <c r="B948" s="44"/>
      <c r="C948" s="44"/>
      <c r="F948" s="15"/>
      <c r="J948" s="29"/>
      <c r="N948" s="30"/>
      <c r="O948" s="14"/>
    </row>
    <row r="949" ht="15.75" customHeight="1">
      <c r="B949" s="44"/>
      <c r="C949" s="44"/>
      <c r="F949" s="15"/>
      <c r="J949" s="29"/>
      <c r="N949" s="30"/>
      <c r="O949" s="14"/>
    </row>
    <row r="950" ht="15.75" customHeight="1">
      <c r="B950" s="44"/>
      <c r="C950" s="44"/>
      <c r="F950" s="15"/>
      <c r="J950" s="29"/>
      <c r="N950" s="30"/>
      <c r="O950" s="14"/>
    </row>
    <row r="951" ht="15.75" customHeight="1">
      <c r="B951" s="44"/>
      <c r="C951" s="44"/>
      <c r="F951" s="15"/>
      <c r="J951" s="29"/>
      <c r="N951" s="30"/>
      <c r="O951" s="14"/>
    </row>
    <row r="952" ht="15.75" customHeight="1">
      <c r="B952" s="44"/>
      <c r="C952" s="44"/>
      <c r="F952" s="15"/>
      <c r="J952" s="29"/>
      <c r="N952" s="30"/>
      <c r="O952" s="14"/>
    </row>
    <row r="953" ht="15.75" customHeight="1">
      <c r="B953" s="44"/>
      <c r="C953" s="44"/>
      <c r="F953" s="15"/>
      <c r="J953" s="29"/>
      <c r="N953" s="30"/>
      <c r="O953" s="14"/>
    </row>
    <row r="954" ht="15.75" customHeight="1">
      <c r="B954" s="44"/>
      <c r="C954" s="44"/>
      <c r="F954" s="15"/>
      <c r="J954" s="29"/>
      <c r="N954" s="30"/>
      <c r="O954" s="14"/>
    </row>
    <row r="955" ht="15.75" customHeight="1">
      <c r="B955" s="44"/>
      <c r="C955" s="44"/>
      <c r="F955" s="15"/>
      <c r="J955" s="29"/>
      <c r="N955" s="30"/>
      <c r="O955" s="14"/>
    </row>
    <row r="956" ht="15.75" customHeight="1">
      <c r="B956" s="44"/>
      <c r="C956" s="44"/>
      <c r="F956" s="15"/>
      <c r="J956" s="29"/>
      <c r="N956" s="30"/>
      <c r="O956" s="14"/>
    </row>
    <row r="957" ht="15.75" customHeight="1">
      <c r="B957" s="44"/>
      <c r="C957" s="44"/>
      <c r="F957" s="15"/>
      <c r="J957" s="29"/>
      <c r="N957" s="30"/>
      <c r="O957" s="14"/>
    </row>
    <row r="958" ht="15.75" customHeight="1">
      <c r="B958" s="44"/>
      <c r="C958" s="44"/>
      <c r="F958" s="15"/>
      <c r="J958" s="29"/>
      <c r="N958" s="30"/>
      <c r="O958" s="14"/>
    </row>
    <row r="959" ht="15.75" customHeight="1">
      <c r="B959" s="44"/>
      <c r="C959" s="44"/>
      <c r="F959" s="15"/>
      <c r="J959" s="29"/>
      <c r="N959" s="30"/>
      <c r="O959" s="14"/>
    </row>
    <row r="960" ht="15.75" customHeight="1">
      <c r="B960" s="44"/>
      <c r="C960" s="44"/>
      <c r="F960" s="15"/>
      <c r="J960" s="29"/>
      <c r="N960" s="30"/>
      <c r="O960" s="14"/>
    </row>
    <row r="961" ht="15.75" customHeight="1">
      <c r="B961" s="44"/>
      <c r="C961" s="44"/>
      <c r="F961" s="15"/>
      <c r="J961" s="29"/>
      <c r="N961" s="30"/>
      <c r="O961" s="14"/>
    </row>
    <row r="962" ht="15.75" customHeight="1">
      <c r="B962" s="44"/>
      <c r="C962" s="44"/>
      <c r="F962" s="15"/>
      <c r="J962" s="29"/>
      <c r="N962" s="30"/>
      <c r="O962" s="14"/>
    </row>
    <row r="963" ht="15.75" customHeight="1">
      <c r="B963" s="44"/>
      <c r="C963" s="44"/>
      <c r="F963" s="15"/>
      <c r="J963" s="29"/>
      <c r="N963" s="30"/>
      <c r="O963" s="14"/>
    </row>
    <row r="964" ht="15.75" customHeight="1">
      <c r="B964" s="44"/>
      <c r="C964" s="44"/>
      <c r="F964" s="15"/>
      <c r="J964" s="29"/>
      <c r="N964" s="30"/>
      <c r="O964" s="14"/>
    </row>
    <row r="965" ht="15.75" customHeight="1">
      <c r="B965" s="44"/>
      <c r="C965" s="44"/>
      <c r="F965" s="15"/>
      <c r="J965" s="29"/>
      <c r="N965" s="30"/>
      <c r="O965" s="14"/>
    </row>
    <row r="966" ht="15.75" customHeight="1">
      <c r="B966" s="44"/>
      <c r="C966" s="44"/>
      <c r="F966" s="15"/>
      <c r="J966" s="29"/>
      <c r="N966" s="30"/>
      <c r="O966" s="14"/>
    </row>
    <row r="967" ht="15.75" customHeight="1">
      <c r="B967" s="44"/>
      <c r="C967" s="44"/>
      <c r="F967" s="15"/>
      <c r="J967" s="29"/>
      <c r="N967" s="30"/>
      <c r="O967" s="14"/>
    </row>
    <row r="968" ht="15.75" customHeight="1">
      <c r="B968" s="44"/>
      <c r="C968" s="44"/>
      <c r="F968" s="15"/>
      <c r="J968" s="29"/>
      <c r="N968" s="30"/>
      <c r="O968" s="14"/>
    </row>
    <row r="969" ht="15.75" customHeight="1">
      <c r="B969" s="44"/>
      <c r="C969" s="44"/>
      <c r="F969" s="15"/>
      <c r="J969" s="29"/>
      <c r="N969" s="30"/>
      <c r="O969" s="14"/>
    </row>
    <row r="970" ht="15.75" customHeight="1">
      <c r="B970" s="44"/>
      <c r="C970" s="44"/>
      <c r="F970" s="15"/>
      <c r="J970" s="29"/>
      <c r="N970" s="30"/>
      <c r="O970" s="14"/>
    </row>
    <row r="971" ht="15.75" customHeight="1">
      <c r="B971" s="44"/>
      <c r="C971" s="44"/>
      <c r="F971" s="15"/>
      <c r="J971" s="29"/>
      <c r="N971" s="30"/>
      <c r="O971" s="14"/>
    </row>
    <row r="972" ht="15.75" customHeight="1">
      <c r="B972" s="44"/>
      <c r="C972" s="44"/>
      <c r="F972" s="15"/>
      <c r="J972" s="29"/>
      <c r="N972" s="30"/>
      <c r="O972" s="14"/>
    </row>
    <row r="973" ht="15.75" customHeight="1">
      <c r="B973" s="44"/>
      <c r="C973" s="44"/>
      <c r="F973" s="15"/>
      <c r="J973" s="29"/>
      <c r="N973" s="30"/>
      <c r="O973" s="14"/>
    </row>
    <row r="974" ht="15.75" customHeight="1">
      <c r="B974" s="44"/>
      <c r="C974" s="44"/>
      <c r="F974" s="15"/>
      <c r="J974" s="29"/>
      <c r="N974" s="30"/>
      <c r="O974" s="14"/>
    </row>
    <row r="975" ht="15.75" customHeight="1">
      <c r="B975" s="44"/>
      <c r="C975" s="44"/>
      <c r="F975" s="15"/>
      <c r="J975" s="29"/>
      <c r="N975" s="30"/>
      <c r="O975" s="14"/>
    </row>
    <row r="976" ht="15.75" customHeight="1">
      <c r="B976" s="44"/>
      <c r="C976" s="44"/>
      <c r="F976" s="15"/>
      <c r="J976" s="29"/>
      <c r="N976" s="30"/>
      <c r="O976" s="14"/>
    </row>
    <row r="977" ht="15.75" customHeight="1">
      <c r="B977" s="44"/>
      <c r="C977" s="44"/>
      <c r="F977" s="15"/>
      <c r="J977" s="29"/>
      <c r="N977" s="30"/>
      <c r="O977" s="14"/>
    </row>
    <row r="978" ht="15.75" customHeight="1">
      <c r="B978" s="44"/>
      <c r="C978" s="44"/>
      <c r="F978" s="15"/>
      <c r="J978" s="29"/>
      <c r="N978" s="30"/>
      <c r="O978" s="14"/>
    </row>
    <row r="979" ht="15.75" customHeight="1">
      <c r="B979" s="44"/>
      <c r="C979" s="44"/>
      <c r="F979" s="15"/>
      <c r="J979" s="29"/>
      <c r="N979" s="30"/>
      <c r="O979" s="14"/>
    </row>
  </sheetData>
  <autoFilter ref="$A$1:$O$190">
    <filterColumn colId="1">
      <filters>
        <filter val="G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20.43"/>
    <col customWidth="1" min="3" max="3" width="63.57"/>
    <col customWidth="1" min="4" max="5" width="14.43"/>
    <col customWidth="1" min="6" max="6" width="33.29"/>
    <col customWidth="1" min="7" max="7" width="21.71"/>
  </cols>
  <sheetData>
    <row r="1" ht="15.75" customHeight="1">
      <c r="A1" s="1" t="s">
        <v>0</v>
      </c>
      <c r="B1" s="4"/>
      <c r="C1" s="4" t="s">
        <v>3</v>
      </c>
      <c r="D1" s="4" t="s">
        <v>4</v>
      </c>
      <c r="E1" s="6" t="s">
        <v>5</v>
      </c>
      <c r="F1" s="6" t="s">
        <v>6</v>
      </c>
      <c r="G1" s="6" t="s">
        <v>7</v>
      </c>
    </row>
    <row r="2" ht="15.75" customHeight="1">
      <c r="A2" s="45" t="s">
        <v>356</v>
      </c>
      <c r="B2" s="32"/>
      <c r="C2" s="32" t="s">
        <v>542</v>
      </c>
      <c r="D2" s="31"/>
      <c r="E2" s="46"/>
      <c r="F2" s="31"/>
      <c r="G2" s="46"/>
      <c r="H2" s="31"/>
      <c r="I2" s="46"/>
      <c r="J2" s="31"/>
      <c r="K2" s="46"/>
      <c r="L2" s="31"/>
      <c r="M2" s="46"/>
      <c r="N2" s="31"/>
      <c r="O2" s="46"/>
      <c r="P2" s="31"/>
      <c r="Q2" s="46"/>
      <c r="R2" s="31"/>
      <c r="S2" s="46"/>
      <c r="T2" s="31"/>
      <c r="U2" s="46"/>
      <c r="V2" s="31"/>
      <c r="W2" s="46"/>
      <c r="X2" s="31"/>
      <c r="Y2" s="46"/>
      <c r="Z2" s="31"/>
      <c r="AA2" s="46"/>
    </row>
    <row r="3" ht="15.75" customHeight="1">
      <c r="A3" s="45" t="s">
        <v>543</v>
      </c>
      <c r="B3" s="32"/>
      <c r="C3" s="32" t="s">
        <v>544</v>
      </c>
      <c r="D3" s="31"/>
      <c r="E3" s="46"/>
      <c r="F3" s="31"/>
      <c r="G3" s="46"/>
      <c r="H3" s="31"/>
      <c r="I3" s="46"/>
      <c r="J3" s="31"/>
      <c r="K3" s="46"/>
      <c r="L3" s="31"/>
      <c r="M3" s="46"/>
      <c r="N3" s="31"/>
      <c r="O3" s="46"/>
      <c r="P3" s="31"/>
      <c r="Q3" s="46"/>
      <c r="R3" s="31"/>
      <c r="S3" s="46"/>
      <c r="T3" s="31"/>
      <c r="U3" s="46"/>
      <c r="V3" s="31"/>
      <c r="W3" s="46"/>
      <c r="X3" s="31"/>
      <c r="Y3" s="46"/>
      <c r="Z3" s="31"/>
      <c r="AA3" s="46"/>
    </row>
    <row r="4" ht="15.75" customHeight="1">
      <c r="A4" s="45" t="s">
        <v>545</v>
      </c>
      <c r="B4" s="32"/>
      <c r="C4" s="32" t="s">
        <v>546</v>
      </c>
      <c r="D4" s="31"/>
      <c r="E4" s="46"/>
      <c r="F4" s="31"/>
      <c r="G4" s="46"/>
      <c r="H4" s="31"/>
      <c r="I4" s="46"/>
      <c r="J4" s="31"/>
      <c r="K4" s="46"/>
      <c r="L4" s="31"/>
      <c r="M4" s="46"/>
      <c r="N4" s="31"/>
      <c r="O4" s="46"/>
      <c r="P4" s="31"/>
      <c r="Q4" s="46"/>
      <c r="R4" s="31"/>
      <c r="S4" s="46"/>
      <c r="T4" s="31"/>
      <c r="U4" s="46"/>
      <c r="V4" s="31"/>
      <c r="W4" s="46"/>
      <c r="X4" s="31"/>
      <c r="Y4" s="46"/>
      <c r="Z4" s="31"/>
      <c r="AA4" s="46"/>
    </row>
    <row r="5" ht="15.75" customHeight="1">
      <c r="A5" s="45" t="s">
        <v>547</v>
      </c>
      <c r="B5" s="32"/>
      <c r="C5" s="32" t="s">
        <v>548</v>
      </c>
      <c r="D5" s="31"/>
      <c r="E5" s="46"/>
      <c r="F5" s="31"/>
      <c r="G5" s="46"/>
      <c r="H5" s="31"/>
      <c r="I5" s="46"/>
      <c r="J5" s="31"/>
      <c r="K5" s="46"/>
      <c r="L5" s="31"/>
      <c r="M5" s="46"/>
      <c r="N5" s="31"/>
      <c r="O5" s="46"/>
      <c r="P5" s="31"/>
      <c r="Q5" s="46"/>
      <c r="R5" s="31"/>
      <c r="S5" s="46"/>
      <c r="T5" s="31"/>
      <c r="U5" s="46"/>
      <c r="V5" s="31"/>
      <c r="W5" s="46"/>
      <c r="X5" s="31"/>
      <c r="Y5" s="46"/>
      <c r="Z5" s="31"/>
      <c r="AA5" s="46"/>
    </row>
    <row r="6" ht="15.75" customHeight="1">
      <c r="A6" s="45" t="s">
        <v>549</v>
      </c>
      <c r="B6" s="32"/>
      <c r="C6" s="32" t="s">
        <v>550</v>
      </c>
      <c r="D6" s="31"/>
      <c r="E6" s="46"/>
      <c r="F6" s="31"/>
      <c r="G6" s="46"/>
      <c r="H6" s="31"/>
      <c r="I6" s="46"/>
      <c r="J6" s="31"/>
      <c r="K6" s="46"/>
      <c r="L6" s="31"/>
      <c r="M6" s="46"/>
      <c r="N6" s="31"/>
      <c r="O6" s="46"/>
      <c r="P6" s="31"/>
      <c r="Q6" s="46"/>
      <c r="R6" s="31"/>
      <c r="S6" s="46"/>
      <c r="T6" s="31"/>
      <c r="U6" s="46"/>
      <c r="V6" s="31"/>
      <c r="W6" s="46"/>
      <c r="X6" s="31"/>
      <c r="Y6" s="46"/>
      <c r="Z6" s="31"/>
      <c r="AA6" s="46"/>
    </row>
    <row r="7" ht="15.75" customHeight="1">
      <c r="A7" s="45" t="s">
        <v>551</v>
      </c>
      <c r="B7" s="32"/>
      <c r="C7" s="32" t="s">
        <v>552</v>
      </c>
      <c r="D7" s="31"/>
      <c r="E7" s="46"/>
      <c r="F7" s="31"/>
      <c r="G7" s="46"/>
      <c r="H7" s="31"/>
      <c r="I7" s="46"/>
      <c r="J7" s="31"/>
      <c r="K7" s="46"/>
      <c r="L7" s="31"/>
      <c r="M7" s="46"/>
      <c r="N7" s="31"/>
      <c r="O7" s="46"/>
      <c r="P7" s="31"/>
      <c r="Q7" s="46"/>
      <c r="R7" s="31"/>
      <c r="S7" s="46"/>
      <c r="T7" s="31"/>
      <c r="U7" s="46"/>
      <c r="V7" s="31"/>
      <c r="W7" s="46"/>
      <c r="X7" s="31"/>
      <c r="Y7" s="46"/>
      <c r="Z7" s="31"/>
      <c r="AA7" s="46"/>
    </row>
    <row r="8" ht="15.75" customHeight="1">
      <c r="A8" s="45" t="s">
        <v>553</v>
      </c>
      <c r="B8" s="32"/>
      <c r="C8" s="32" t="s">
        <v>554</v>
      </c>
      <c r="D8" s="31"/>
      <c r="E8" s="46"/>
      <c r="F8" s="31"/>
      <c r="G8" s="46"/>
      <c r="H8" s="31"/>
      <c r="I8" s="46"/>
      <c r="J8" s="31"/>
      <c r="K8" s="46"/>
      <c r="L8" s="31"/>
      <c r="M8" s="46"/>
      <c r="N8" s="31"/>
      <c r="O8" s="46"/>
      <c r="P8" s="31"/>
      <c r="Q8" s="46"/>
      <c r="R8" s="31"/>
      <c r="S8" s="46"/>
      <c r="T8" s="31"/>
      <c r="U8" s="46"/>
      <c r="V8" s="31"/>
      <c r="W8" s="46"/>
      <c r="X8" s="31"/>
      <c r="Y8" s="46"/>
      <c r="Z8" s="31"/>
      <c r="AA8" s="46"/>
    </row>
    <row r="9" ht="15.75" customHeight="1">
      <c r="A9" s="45" t="s">
        <v>555</v>
      </c>
      <c r="B9" s="32"/>
      <c r="C9" s="32" t="s">
        <v>556</v>
      </c>
      <c r="D9" s="31"/>
      <c r="E9" s="46"/>
      <c r="F9" s="31"/>
      <c r="G9" s="46"/>
      <c r="H9" s="31"/>
      <c r="I9" s="46"/>
      <c r="J9" s="31"/>
      <c r="K9" s="46"/>
      <c r="L9" s="31"/>
      <c r="M9" s="46"/>
      <c r="N9" s="31"/>
      <c r="O9" s="46"/>
      <c r="P9" s="31"/>
      <c r="Q9" s="46"/>
      <c r="R9" s="31"/>
      <c r="S9" s="46"/>
      <c r="T9" s="31"/>
      <c r="U9" s="46"/>
      <c r="V9" s="31"/>
      <c r="W9" s="46"/>
      <c r="X9" s="31"/>
      <c r="Y9" s="46"/>
      <c r="Z9" s="31"/>
      <c r="AA9" s="46"/>
    </row>
    <row r="10" ht="15.75" customHeight="1">
      <c r="A10" s="45" t="s">
        <v>557</v>
      </c>
      <c r="B10" s="32"/>
      <c r="C10" s="32" t="s">
        <v>558</v>
      </c>
      <c r="D10" s="31"/>
      <c r="E10" s="46"/>
      <c r="F10" s="31"/>
      <c r="G10" s="46"/>
      <c r="H10" s="31"/>
      <c r="I10" s="46"/>
      <c r="J10" s="31"/>
      <c r="K10" s="46"/>
      <c r="L10" s="31"/>
      <c r="M10" s="46"/>
      <c r="N10" s="31"/>
      <c r="O10" s="46"/>
      <c r="P10" s="31"/>
      <c r="Q10" s="46"/>
      <c r="R10" s="31"/>
      <c r="S10" s="46"/>
      <c r="T10" s="31"/>
      <c r="U10" s="46"/>
      <c r="V10" s="31"/>
      <c r="W10" s="46"/>
      <c r="X10" s="31"/>
      <c r="Y10" s="46"/>
      <c r="Z10" s="31"/>
      <c r="AA10" s="46"/>
    </row>
    <row r="11" ht="15.75" customHeight="1">
      <c r="A11" s="45" t="s">
        <v>559</v>
      </c>
      <c r="B11" s="32"/>
      <c r="C11" s="32" t="s">
        <v>560</v>
      </c>
      <c r="D11" s="31"/>
      <c r="E11" s="46"/>
      <c r="F11" s="31"/>
      <c r="G11" s="46"/>
      <c r="H11" s="31"/>
      <c r="I11" s="46"/>
      <c r="J11" s="31"/>
      <c r="K11" s="46"/>
      <c r="L11" s="31"/>
      <c r="M11" s="46"/>
      <c r="N11" s="31"/>
      <c r="O11" s="46"/>
      <c r="P11" s="31"/>
      <c r="Q11" s="46"/>
      <c r="R11" s="31"/>
      <c r="S11" s="46"/>
      <c r="T11" s="31"/>
      <c r="U11" s="46"/>
      <c r="V11" s="31"/>
      <c r="W11" s="46"/>
      <c r="X11" s="31"/>
      <c r="Y11" s="46"/>
      <c r="Z11" s="31"/>
      <c r="AA11" s="46"/>
    </row>
    <row r="12" ht="15.75" customHeight="1">
      <c r="A12" s="45" t="s">
        <v>561</v>
      </c>
      <c r="B12" s="32"/>
      <c r="C12" s="32" t="s">
        <v>562</v>
      </c>
      <c r="D12" s="31"/>
      <c r="E12" s="46"/>
      <c r="F12" s="31"/>
      <c r="G12" s="46"/>
      <c r="H12" s="31"/>
      <c r="I12" s="46"/>
      <c r="J12" s="31"/>
      <c r="K12" s="46"/>
      <c r="L12" s="31"/>
      <c r="M12" s="46"/>
      <c r="N12" s="31"/>
      <c r="O12" s="46"/>
      <c r="P12" s="31"/>
      <c r="Q12" s="46"/>
      <c r="R12" s="31"/>
      <c r="S12" s="46"/>
      <c r="T12" s="31"/>
      <c r="U12" s="46"/>
      <c r="V12" s="31"/>
      <c r="W12" s="46"/>
      <c r="X12" s="31"/>
      <c r="Y12" s="46"/>
      <c r="Z12" s="31"/>
      <c r="AA12" s="46"/>
    </row>
    <row r="13" ht="15.75" customHeight="1">
      <c r="A13" s="45" t="s">
        <v>563</v>
      </c>
      <c r="B13" s="32"/>
      <c r="C13" s="32" t="s">
        <v>564</v>
      </c>
      <c r="D13" s="31"/>
      <c r="E13" s="46"/>
      <c r="F13" s="31"/>
      <c r="G13" s="46"/>
      <c r="H13" s="31"/>
      <c r="I13" s="46"/>
      <c r="J13" s="31"/>
      <c r="K13" s="46"/>
      <c r="L13" s="31"/>
      <c r="M13" s="46"/>
      <c r="N13" s="31"/>
      <c r="O13" s="46"/>
      <c r="P13" s="31"/>
      <c r="Q13" s="46"/>
      <c r="R13" s="31"/>
      <c r="S13" s="46"/>
      <c r="T13" s="31"/>
      <c r="U13" s="46"/>
      <c r="V13" s="31"/>
      <c r="W13" s="46"/>
      <c r="X13" s="31"/>
      <c r="Y13" s="46"/>
      <c r="Z13" s="31"/>
      <c r="AA13" s="46"/>
    </row>
    <row r="14" ht="15.75" customHeight="1">
      <c r="A14" s="45" t="s">
        <v>565</v>
      </c>
      <c r="B14" s="32"/>
      <c r="C14" s="32" t="s">
        <v>566</v>
      </c>
      <c r="D14" s="31"/>
      <c r="E14" s="46"/>
      <c r="F14" s="31"/>
      <c r="G14" s="46"/>
      <c r="H14" s="31"/>
      <c r="I14" s="46"/>
      <c r="J14" s="31"/>
      <c r="K14" s="46"/>
      <c r="L14" s="31"/>
      <c r="M14" s="46"/>
      <c r="N14" s="31"/>
      <c r="O14" s="46"/>
      <c r="P14" s="31"/>
      <c r="Q14" s="46"/>
      <c r="R14" s="31"/>
      <c r="S14" s="46"/>
      <c r="T14" s="31"/>
      <c r="U14" s="46"/>
      <c r="V14" s="31"/>
      <c r="W14" s="46"/>
      <c r="X14" s="31"/>
      <c r="Y14" s="46"/>
      <c r="Z14" s="31"/>
      <c r="AA14" s="46"/>
    </row>
    <row r="15" ht="15.75" customHeight="1">
      <c r="A15" s="45" t="s">
        <v>567</v>
      </c>
      <c r="B15" s="32"/>
      <c r="C15" s="32" t="s">
        <v>568</v>
      </c>
      <c r="D15" s="31"/>
      <c r="E15" s="46"/>
      <c r="F15" s="31"/>
      <c r="G15" s="46"/>
      <c r="H15" s="31"/>
      <c r="I15" s="46"/>
      <c r="J15" s="31"/>
      <c r="K15" s="46"/>
      <c r="L15" s="31"/>
      <c r="M15" s="46"/>
      <c r="N15" s="31"/>
      <c r="O15" s="46"/>
      <c r="P15" s="31"/>
      <c r="Q15" s="46"/>
      <c r="R15" s="31"/>
      <c r="S15" s="46"/>
      <c r="T15" s="31"/>
      <c r="U15" s="46"/>
      <c r="V15" s="31"/>
      <c r="W15" s="46"/>
      <c r="X15" s="31"/>
      <c r="Y15" s="46"/>
      <c r="Z15" s="31"/>
      <c r="AA15" s="46"/>
    </row>
    <row r="16" ht="15.75" customHeight="1">
      <c r="A16" s="45" t="s">
        <v>569</v>
      </c>
      <c r="B16" s="32"/>
      <c r="C16" s="32" t="s">
        <v>570</v>
      </c>
      <c r="D16" s="31"/>
      <c r="E16" s="46"/>
      <c r="F16" s="31"/>
      <c r="G16" s="46"/>
      <c r="H16" s="31"/>
      <c r="I16" s="46"/>
      <c r="J16" s="31"/>
      <c r="K16" s="46"/>
      <c r="L16" s="31"/>
      <c r="M16" s="46"/>
      <c r="N16" s="31"/>
      <c r="O16" s="46"/>
      <c r="P16" s="31"/>
      <c r="Q16" s="46"/>
      <c r="R16" s="31"/>
      <c r="S16" s="46"/>
      <c r="T16" s="31"/>
      <c r="U16" s="46"/>
      <c r="V16" s="31"/>
      <c r="W16" s="46"/>
      <c r="X16" s="31"/>
      <c r="Y16" s="46"/>
      <c r="Z16" s="31"/>
      <c r="AA16" s="46"/>
    </row>
    <row r="17" ht="15.75" customHeight="1">
      <c r="A17" s="45" t="s">
        <v>571</v>
      </c>
      <c r="B17" s="32"/>
      <c r="C17" s="32" t="s">
        <v>572</v>
      </c>
      <c r="D17" s="31"/>
      <c r="E17" s="46"/>
      <c r="F17" s="31"/>
      <c r="G17" s="46"/>
      <c r="H17" s="31"/>
      <c r="I17" s="46"/>
      <c r="J17" s="31"/>
      <c r="K17" s="46"/>
      <c r="L17" s="31"/>
      <c r="M17" s="46"/>
      <c r="N17" s="31"/>
      <c r="O17" s="46"/>
      <c r="P17" s="31"/>
      <c r="Q17" s="46"/>
      <c r="R17" s="31"/>
      <c r="S17" s="46"/>
      <c r="T17" s="31"/>
      <c r="U17" s="46"/>
      <c r="V17" s="31"/>
      <c r="W17" s="46"/>
      <c r="X17" s="31"/>
      <c r="Y17" s="46"/>
      <c r="Z17" s="31"/>
      <c r="AA17" s="46"/>
    </row>
    <row r="18" ht="15.75" customHeight="1">
      <c r="A18" s="45" t="s">
        <v>573</v>
      </c>
      <c r="B18" s="32"/>
      <c r="C18" s="32" t="s">
        <v>574</v>
      </c>
      <c r="D18" s="31"/>
      <c r="E18" s="46"/>
      <c r="F18" s="31"/>
      <c r="G18" s="46"/>
      <c r="H18" s="31"/>
      <c r="I18" s="46"/>
      <c r="J18" s="31"/>
      <c r="K18" s="46"/>
      <c r="L18" s="31"/>
      <c r="M18" s="46"/>
      <c r="N18" s="31"/>
      <c r="O18" s="46"/>
      <c r="P18" s="31"/>
      <c r="Q18" s="46"/>
      <c r="R18" s="31"/>
      <c r="S18" s="46"/>
      <c r="T18" s="31"/>
      <c r="U18" s="46"/>
      <c r="V18" s="31"/>
      <c r="W18" s="46"/>
      <c r="X18" s="31"/>
      <c r="Y18" s="46"/>
      <c r="Z18" s="31"/>
      <c r="AA18" s="46"/>
    </row>
    <row r="19" ht="15.75" customHeight="1">
      <c r="A19" s="45" t="s">
        <v>575</v>
      </c>
      <c r="B19" s="32"/>
      <c r="C19" s="32" t="s">
        <v>576</v>
      </c>
      <c r="D19" s="31"/>
      <c r="E19" s="46"/>
      <c r="F19" s="31"/>
      <c r="G19" s="46"/>
      <c r="H19" s="31"/>
      <c r="I19" s="46"/>
      <c r="J19" s="31"/>
      <c r="K19" s="46"/>
      <c r="L19" s="31"/>
      <c r="M19" s="46"/>
      <c r="N19" s="31"/>
      <c r="O19" s="46"/>
      <c r="P19" s="31"/>
      <c r="Q19" s="46"/>
      <c r="R19" s="31"/>
      <c r="S19" s="46"/>
      <c r="T19" s="31"/>
      <c r="U19" s="46"/>
      <c r="V19" s="31"/>
      <c r="W19" s="46"/>
      <c r="X19" s="31"/>
      <c r="Y19" s="46"/>
      <c r="Z19" s="31"/>
      <c r="AA19" s="46"/>
    </row>
    <row r="20" ht="15.75" customHeight="1">
      <c r="A20" s="45" t="s">
        <v>577</v>
      </c>
      <c r="B20" s="32"/>
      <c r="C20" s="32" t="s">
        <v>578</v>
      </c>
      <c r="D20" s="31"/>
      <c r="E20" s="46"/>
      <c r="F20" s="31"/>
      <c r="G20" s="46"/>
      <c r="H20" s="31"/>
      <c r="I20" s="46"/>
      <c r="J20" s="31"/>
      <c r="K20" s="46"/>
      <c r="L20" s="31"/>
      <c r="M20" s="46"/>
      <c r="N20" s="31"/>
      <c r="O20" s="46"/>
      <c r="P20" s="31"/>
      <c r="Q20" s="46"/>
      <c r="R20" s="31"/>
      <c r="S20" s="46"/>
      <c r="T20" s="31"/>
      <c r="U20" s="46"/>
      <c r="V20" s="31"/>
      <c r="W20" s="46"/>
      <c r="X20" s="31"/>
      <c r="Y20" s="46"/>
      <c r="Z20" s="31"/>
      <c r="AA20" s="46"/>
    </row>
    <row r="21" ht="15.75" customHeight="1">
      <c r="A21" s="45" t="s">
        <v>579</v>
      </c>
      <c r="B21" s="32"/>
      <c r="C21" s="32" t="s">
        <v>580</v>
      </c>
      <c r="D21" s="31"/>
      <c r="E21" s="46"/>
      <c r="F21" s="31"/>
      <c r="G21" s="46"/>
      <c r="H21" s="31"/>
      <c r="I21" s="46"/>
      <c r="J21" s="31"/>
      <c r="K21" s="46"/>
      <c r="L21" s="31"/>
      <c r="M21" s="46"/>
      <c r="N21" s="31"/>
      <c r="O21" s="46"/>
      <c r="P21" s="31"/>
      <c r="Q21" s="46"/>
      <c r="R21" s="31"/>
      <c r="S21" s="46"/>
      <c r="T21" s="31"/>
      <c r="U21" s="46"/>
      <c r="V21" s="31"/>
      <c r="W21" s="46"/>
      <c r="X21" s="31"/>
      <c r="Y21" s="46"/>
      <c r="Z21" s="31"/>
      <c r="AA21" s="46"/>
    </row>
    <row r="22" ht="15.75" customHeight="1">
      <c r="A22" s="45" t="s">
        <v>475</v>
      </c>
      <c r="B22" s="32"/>
      <c r="C22" s="32" t="s">
        <v>476</v>
      </c>
      <c r="D22" s="31"/>
      <c r="E22" s="46"/>
      <c r="F22" s="31"/>
      <c r="G22" s="46"/>
      <c r="H22" s="31"/>
      <c r="I22" s="46"/>
      <c r="J22" s="31"/>
      <c r="K22" s="46"/>
      <c r="L22" s="31"/>
      <c r="M22" s="46"/>
      <c r="N22" s="31"/>
      <c r="O22" s="46"/>
      <c r="P22" s="31"/>
      <c r="Q22" s="46"/>
      <c r="R22" s="31"/>
      <c r="S22" s="46"/>
      <c r="T22" s="31"/>
      <c r="U22" s="46"/>
      <c r="V22" s="31"/>
      <c r="W22" s="46"/>
      <c r="X22" s="31"/>
      <c r="Y22" s="46"/>
      <c r="Z22" s="31"/>
      <c r="AA22" s="46"/>
    </row>
    <row r="23" ht="15.75" customHeight="1">
      <c r="A23" s="45" t="s">
        <v>477</v>
      </c>
      <c r="B23" s="32"/>
      <c r="C23" s="32" t="s">
        <v>478</v>
      </c>
      <c r="D23" s="31"/>
      <c r="E23" s="46"/>
      <c r="F23" s="31"/>
      <c r="G23" s="46"/>
      <c r="H23" s="31"/>
      <c r="I23" s="46"/>
      <c r="J23" s="31"/>
      <c r="K23" s="46"/>
      <c r="L23" s="31"/>
      <c r="M23" s="46"/>
      <c r="N23" s="31"/>
      <c r="O23" s="46"/>
      <c r="P23" s="31"/>
      <c r="Q23" s="46"/>
      <c r="R23" s="31"/>
      <c r="S23" s="46"/>
      <c r="T23" s="31"/>
      <c r="U23" s="46"/>
      <c r="V23" s="31"/>
      <c r="W23" s="46"/>
      <c r="X23" s="31"/>
      <c r="Y23" s="46"/>
      <c r="Z23" s="31"/>
      <c r="AA23" s="46"/>
    </row>
    <row r="24" ht="15.75" customHeight="1">
      <c r="A24" s="45" t="s">
        <v>479</v>
      </c>
      <c r="B24" s="32"/>
      <c r="C24" s="32" t="s">
        <v>480</v>
      </c>
      <c r="D24" s="31"/>
      <c r="E24" s="46"/>
      <c r="F24" s="31"/>
      <c r="G24" s="46"/>
      <c r="H24" s="31"/>
      <c r="I24" s="46"/>
      <c r="J24" s="31"/>
      <c r="K24" s="46"/>
      <c r="L24" s="31"/>
      <c r="M24" s="46"/>
      <c r="N24" s="31"/>
      <c r="O24" s="46"/>
      <c r="P24" s="31"/>
      <c r="Q24" s="46"/>
      <c r="R24" s="31"/>
      <c r="S24" s="46"/>
      <c r="T24" s="31"/>
      <c r="U24" s="46"/>
      <c r="V24" s="31"/>
      <c r="W24" s="46"/>
      <c r="X24" s="31"/>
      <c r="Y24" s="46"/>
      <c r="Z24" s="31"/>
      <c r="AA24" s="46"/>
    </row>
    <row r="25" ht="15.75" customHeight="1">
      <c r="A25" s="45" t="s">
        <v>481</v>
      </c>
      <c r="B25" s="32"/>
      <c r="C25" s="32" t="s">
        <v>482</v>
      </c>
      <c r="D25" s="31"/>
      <c r="E25" s="46"/>
      <c r="F25" s="31"/>
      <c r="G25" s="46"/>
      <c r="H25" s="31"/>
      <c r="I25" s="46"/>
      <c r="J25" s="31"/>
      <c r="K25" s="46"/>
      <c r="L25" s="31"/>
      <c r="M25" s="46"/>
      <c r="N25" s="31"/>
      <c r="O25" s="46"/>
      <c r="P25" s="31"/>
      <c r="Q25" s="46"/>
      <c r="R25" s="31"/>
      <c r="S25" s="46"/>
      <c r="T25" s="31"/>
      <c r="U25" s="46"/>
      <c r="V25" s="31"/>
      <c r="W25" s="46"/>
      <c r="X25" s="31"/>
      <c r="Y25" s="46"/>
      <c r="Z25" s="31"/>
      <c r="AA25" s="46"/>
    </row>
    <row r="26" ht="15.75" customHeight="1">
      <c r="A26" s="45" t="s">
        <v>483</v>
      </c>
      <c r="B26" s="32"/>
      <c r="C26" s="32" t="s">
        <v>484</v>
      </c>
      <c r="D26" s="31"/>
      <c r="E26" s="46"/>
      <c r="F26" s="31"/>
      <c r="G26" s="46"/>
      <c r="H26" s="31"/>
      <c r="I26" s="46"/>
      <c r="J26" s="31"/>
      <c r="K26" s="46"/>
      <c r="L26" s="31"/>
      <c r="M26" s="46"/>
      <c r="N26" s="31"/>
      <c r="O26" s="46"/>
      <c r="P26" s="31"/>
      <c r="Q26" s="46"/>
      <c r="R26" s="31"/>
      <c r="S26" s="46"/>
      <c r="T26" s="31"/>
      <c r="U26" s="46"/>
      <c r="V26" s="31"/>
      <c r="W26" s="46"/>
      <c r="X26" s="31"/>
      <c r="Y26" s="46"/>
      <c r="Z26" s="31"/>
      <c r="AA26" s="46"/>
    </row>
    <row r="27" ht="15.75" customHeight="1">
      <c r="A27" s="45" t="s">
        <v>485</v>
      </c>
      <c r="B27" s="32"/>
      <c r="C27" s="32" t="s">
        <v>486</v>
      </c>
      <c r="D27" s="31"/>
      <c r="E27" s="46"/>
      <c r="F27" s="31"/>
      <c r="G27" s="46"/>
      <c r="H27" s="31"/>
      <c r="I27" s="46"/>
      <c r="J27" s="31"/>
      <c r="K27" s="46"/>
      <c r="L27" s="31"/>
      <c r="M27" s="46"/>
      <c r="N27" s="31"/>
      <c r="O27" s="46"/>
      <c r="P27" s="31"/>
      <c r="Q27" s="46"/>
      <c r="R27" s="31"/>
      <c r="S27" s="46"/>
      <c r="T27" s="31"/>
      <c r="U27" s="46"/>
      <c r="V27" s="31"/>
      <c r="W27" s="46"/>
      <c r="X27" s="31"/>
      <c r="Y27" s="46"/>
      <c r="Z27" s="31"/>
      <c r="AA27" s="46"/>
    </row>
    <row r="28" ht="15.75" customHeight="1">
      <c r="A28" s="45" t="s">
        <v>487</v>
      </c>
      <c r="B28" s="32"/>
      <c r="C28" s="32" t="s">
        <v>488</v>
      </c>
      <c r="D28" s="31"/>
      <c r="E28" s="46"/>
      <c r="F28" s="31"/>
      <c r="G28" s="46"/>
      <c r="H28" s="31"/>
      <c r="I28" s="46"/>
      <c r="J28" s="31"/>
      <c r="K28" s="46"/>
      <c r="L28" s="31"/>
      <c r="M28" s="46"/>
      <c r="N28" s="31"/>
      <c r="O28" s="46"/>
      <c r="P28" s="31"/>
      <c r="Q28" s="46"/>
      <c r="R28" s="31"/>
      <c r="S28" s="46"/>
      <c r="T28" s="31"/>
      <c r="U28" s="46"/>
      <c r="V28" s="31"/>
      <c r="W28" s="46"/>
      <c r="X28" s="31"/>
      <c r="Y28" s="46"/>
      <c r="Z28" s="31"/>
      <c r="AA28" s="46"/>
    </row>
    <row r="29" ht="15.75" customHeight="1">
      <c r="A29" s="45" t="s">
        <v>489</v>
      </c>
      <c r="B29" s="32"/>
      <c r="C29" s="32" t="s">
        <v>490</v>
      </c>
      <c r="D29" s="31"/>
      <c r="E29" s="46"/>
      <c r="F29" s="31"/>
      <c r="G29" s="46"/>
      <c r="H29" s="31"/>
      <c r="I29" s="46"/>
      <c r="J29" s="31"/>
      <c r="K29" s="46"/>
      <c r="L29" s="31"/>
      <c r="M29" s="46"/>
      <c r="N29" s="31"/>
      <c r="O29" s="46"/>
      <c r="P29" s="31"/>
      <c r="Q29" s="46"/>
      <c r="R29" s="31"/>
      <c r="S29" s="46"/>
      <c r="T29" s="31"/>
      <c r="U29" s="46"/>
      <c r="V29" s="31"/>
      <c r="W29" s="46"/>
      <c r="X29" s="31"/>
      <c r="Y29" s="46"/>
      <c r="Z29" s="31"/>
      <c r="AA29" s="46"/>
    </row>
    <row r="30" ht="15.75" customHeight="1">
      <c r="A30" s="45" t="s">
        <v>491</v>
      </c>
      <c r="B30" s="32"/>
      <c r="C30" s="32" t="s">
        <v>492</v>
      </c>
      <c r="D30" s="31"/>
      <c r="E30" s="46"/>
      <c r="F30" s="31"/>
      <c r="G30" s="46"/>
      <c r="H30" s="31"/>
      <c r="I30" s="46"/>
      <c r="J30" s="31"/>
      <c r="K30" s="46"/>
      <c r="L30" s="31"/>
      <c r="M30" s="46"/>
      <c r="N30" s="31"/>
      <c r="O30" s="46"/>
      <c r="P30" s="31"/>
      <c r="Q30" s="46"/>
      <c r="R30" s="31"/>
      <c r="S30" s="46"/>
      <c r="T30" s="31"/>
      <c r="U30" s="46"/>
      <c r="V30" s="31"/>
      <c r="W30" s="46"/>
      <c r="X30" s="31"/>
      <c r="Y30" s="46"/>
      <c r="Z30" s="31"/>
      <c r="AA30" s="46"/>
    </row>
    <row r="31" ht="15.75" customHeight="1">
      <c r="A31" s="45" t="s">
        <v>493</v>
      </c>
      <c r="B31" s="32"/>
      <c r="C31" s="32" t="s">
        <v>494</v>
      </c>
      <c r="D31" s="31"/>
      <c r="E31" s="46"/>
      <c r="F31" s="31"/>
      <c r="G31" s="46"/>
      <c r="H31" s="31"/>
      <c r="I31" s="46"/>
      <c r="J31" s="31"/>
      <c r="K31" s="46"/>
      <c r="L31" s="31"/>
      <c r="M31" s="46"/>
      <c r="N31" s="31"/>
      <c r="O31" s="46"/>
      <c r="P31" s="31"/>
      <c r="Q31" s="46"/>
      <c r="R31" s="31"/>
      <c r="S31" s="46"/>
      <c r="T31" s="31"/>
      <c r="U31" s="46"/>
      <c r="V31" s="31"/>
      <c r="W31" s="46"/>
      <c r="X31" s="31"/>
      <c r="Y31" s="46"/>
      <c r="Z31" s="31"/>
      <c r="AA31" s="46"/>
    </row>
    <row r="32" ht="15.75" customHeight="1">
      <c r="A32" s="45" t="s">
        <v>495</v>
      </c>
      <c r="B32" s="32"/>
      <c r="C32" s="32" t="s">
        <v>496</v>
      </c>
      <c r="D32" s="31"/>
      <c r="E32" s="46"/>
      <c r="F32" s="31"/>
      <c r="G32" s="46"/>
      <c r="H32" s="31"/>
      <c r="I32" s="46"/>
      <c r="J32" s="31"/>
      <c r="K32" s="46"/>
      <c r="L32" s="31"/>
      <c r="M32" s="46"/>
      <c r="N32" s="31"/>
      <c r="O32" s="46"/>
      <c r="P32" s="31"/>
      <c r="Q32" s="46"/>
      <c r="R32" s="31"/>
      <c r="S32" s="46"/>
      <c r="T32" s="31"/>
      <c r="U32" s="46"/>
      <c r="V32" s="31"/>
      <c r="W32" s="46"/>
      <c r="X32" s="31"/>
      <c r="Y32" s="46"/>
      <c r="Z32" s="31"/>
      <c r="AA32" s="46"/>
    </row>
    <row r="33" ht="15.75" customHeight="1">
      <c r="A33" s="45" t="s">
        <v>497</v>
      </c>
      <c r="B33" s="32"/>
      <c r="C33" s="32" t="s">
        <v>498</v>
      </c>
      <c r="D33" s="31"/>
      <c r="E33" s="46"/>
      <c r="F33" s="31"/>
      <c r="G33" s="46"/>
      <c r="H33" s="31"/>
      <c r="I33" s="46"/>
      <c r="J33" s="31"/>
      <c r="K33" s="46"/>
      <c r="L33" s="31"/>
      <c r="M33" s="46"/>
      <c r="N33" s="31"/>
      <c r="O33" s="46"/>
      <c r="P33" s="31"/>
      <c r="Q33" s="46"/>
      <c r="R33" s="31"/>
      <c r="S33" s="46"/>
      <c r="T33" s="31"/>
      <c r="U33" s="46"/>
      <c r="V33" s="31"/>
      <c r="W33" s="46"/>
      <c r="X33" s="31"/>
      <c r="Y33" s="46"/>
      <c r="Z33" s="31"/>
      <c r="AA33" s="46"/>
    </row>
    <row r="34" ht="15.75" customHeight="1">
      <c r="A34" s="45" t="s">
        <v>499</v>
      </c>
      <c r="B34" s="32"/>
      <c r="C34" s="32" t="s">
        <v>500</v>
      </c>
      <c r="D34" s="31"/>
      <c r="E34" s="46"/>
      <c r="F34" s="31"/>
      <c r="G34" s="46"/>
      <c r="H34" s="31"/>
      <c r="I34" s="46"/>
      <c r="J34" s="31"/>
      <c r="K34" s="46"/>
      <c r="L34" s="31"/>
      <c r="M34" s="46"/>
      <c r="N34" s="31"/>
      <c r="O34" s="46"/>
      <c r="P34" s="31"/>
      <c r="Q34" s="46"/>
      <c r="R34" s="31"/>
      <c r="S34" s="46"/>
      <c r="T34" s="31"/>
      <c r="U34" s="46"/>
      <c r="V34" s="31"/>
      <c r="W34" s="46"/>
      <c r="X34" s="31"/>
      <c r="Y34" s="46"/>
      <c r="Z34" s="31"/>
      <c r="AA34" s="46"/>
    </row>
    <row r="35" ht="15.75" customHeight="1">
      <c r="A35" s="45" t="s">
        <v>501</v>
      </c>
      <c r="B35" s="32"/>
      <c r="C35" s="32" t="s">
        <v>502</v>
      </c>
      <c r="D35" s="31"/>
      <c r="E35" s="46"/>
      <c r="F35" s="31"/>
      <c r="G35" s="46"/>
      <c r="H35" s="31"/>
      <c r="I35" s="46"/>
      <c r="J35" s="31"/>
      <c r="K35" s="46"/>
      <c r="L35" s="31"/>
      <c r="M35" s="46"/>
      <c r="N35" s="31"/>
      <c r="O35" s="46"/>
      <c r="P35" s="31"/>
      <c r="Q35" s="46"/>
      <c r="R35" s="31"/>
      <c r="S35" s="46"/>
      <c r="T35" s="31"/>
      <c r="U35" s="46"/>
      <c r="V35" s="31"/>
      <c r="W35" s="46"/>
      <c r="X35" s="31"/>
      <c r="Y35" s="46"/>
      <c r="Z35" s="31"/>
      <c r="AA35" s="46"/>
    </row>
    <row r="36" ht="15.75" customHeight="1">
      <c r="A36" s="45" t="s">
        <v>503</v>
      </c>
      <c r="B36" s="32"/>
      <c r="C36" s="32" t="s">
        <v>504</v>
      </c>
      <c r="D36" s="31"/>
      <c r="E36" s="46"/>
      <c r="F36" s="31"/>
      <c r="G36" s="46"/>
      <c r="H36" s="31"/>
      <c r="I36" s="46"/>
      <c r="J36" s="31"/>
      <c r="K36" s="46"/>
      <c r="L36" s="31"/>
      <c r="M36" s="46"/>
      <c r="N36" s="31"/>
      <c r="O36" s="46"/>
      <c r="P36" s="31"/>
      <c r="Q36" s="46"/>
      <c r="R36" s="31"/>
      <c r="S36" s="46"/>
      <c r="T36" s="31"/>
      <c r="U36" s="46"/>
      <c r="V36" s="31"/>
      <c r="W36" s="46"/>
      <c r="X36" s="31"/>
      <c r="Y36" s="46"/>
      <c r="Z36" s="31"/>
      <c r="AA36" s="46"/>
    </row>
    <row r="37" ht="15.75" customHeight="1">
      <c r="A37" s="47" t="s">
        <v>253</v>
      </c>
      <c r="B37" s="48"/>
      <c r="C37" s="49" t="s">
        <v>254</v>
      </c>
      <c r="D37" s="31"/>
      <c r="E37" s="46"/>
      <c r="F37" s="31"/>
      <c r="G37" s="46"/>
      <c r="H37" s="31"/>
      <c r="I37" s="46"/>
      <c r="J37" s="31"/>
      <c r="K37" s="46"/>
      <c r="L37" s="31"/>
      <c r="M37" s="46"/>
      <c r="N37" s="31"/>
      <c r="O37" s="46"/>
      <c r="P37" s="31"/>
      <c r="Q37" s="46"/>
      <c r="R37" s="31"/>
      <c r="S37" s="46"/>
      <c r="T37" s="31"/>
      <c r="U37" s="46"/>
      <c r="V37" s="31"/>
      <c r="W37" s="46"/>
      <c r="X37" s="31"/>
      <c r="Y37" s="46"/>
      <c r="Z37" s="31"/>
      <c r="AA37" s="46"/>
    </row>
    <row r="38" ht="15.75" customHeight="1">
      <c r="A38" s="47" t="s">
        <v>25</v>
      </c>
      <c r="B38" s="48"/>
      <c r="C38" s="49" t="s">
        <v>26</v>
      </c>
      <c r="D38" s="31"/>
      <c r="E38" s="46"/>
      <c r="F38" s="31"/>
      <c r="G38" s="46"/>
      <c r="H38" s="31"/>
      <c r="I38" s="46"/>
      <c r="J38" s="31"/>
      <c r="K38" s="46"/>
      <c r="L38" s="31"/>
      <c r="M38" s="46"/>
      <c r="N38" s="31"/>
      <c r="O38" s="46"/>
      <c r="P38" s="31"/>
      <c r="Q38" s="46"/>
      <c r="R38" s="31"/>
      <c r="S38" s="46"/>
      <c r="T38" s="31"/>
      <c r="U38" s="46"/>
      <c r="V38" s="31"/>
      <c r="W38" s="46"/>
      <c r="X38" s="31"/>
      <c r="Y38" s="46"/>
      <c r="Z38" s="31"/>
      <c r="AA38" s="46"/>
    </row>
    <row r="39" ht="15.75" customHeight="1">
      <c r="A39" s="47" t="s">
        <v>367</v>
      </c>
      <c r="B39" s="48"/>
      <c r="C39" s="49" t="s">
        <v>368</v>
      </c>
      <c r="D39" s="31"/>
      <c r="E39" s="46"/>
      <c r="F39" s="31"/>
      <c r="G39" s="46"/>
      <c r="H39" s="31"/>
      <c r="I39" s="46"/>
      <c r="J39" s="31"/>
      <c r="K39" s="46"/>
      <c r="L39" s="31"/>
      <c r="M39" s="46"/>
      <c r="N39" s="31"/>
      <c r="O39" s="46"/>
      <c r="P39" s="31"/>
      <c r="Q39" s="46"/>
      <c r="R39" s="31"/>
      <c r="S39" s="46"/>
      <c r="T39" s="31"/>
      <c r="U39" s="46"/>
      <c r="V39" s="31"/>
      <c r="W39" s="46"/>
      <c r="X39" s="31"/>
      <c r="Y39" s="46"/>
      <c r="Z39" s="31"/>
      <c r="AA39" s="46"/>
    </row>
    <row r="40" ht="15.75" customHeight="1">
      <c r="A40" s="47" t="s">
        <v>243</v>
      </c>
      <c r="B40" s="48"/>
      <c r="C40" s="49" t="s">
        <v>244</v>
      </c>
      <c r="D40" s="31"/>
      <c r="E40" s="46"/>
      <c r="F40" s="31"/>
      <c r="G40" s="46"/>
      <c r="H40" s="31"/>
      <c r="I40" s="46"/>
      <c r="J40" s="31"/>
      <c r="K40" s="46"/>
      <c r="L40" s="31"/>
      <c r="M40" s="46"/>
      <c r="N40" s="31"/>
      <c r="O40" s="46"/>
      <c r="P40" s="31"/>
      <c r="Q40" s="46"/>
      <c r="R40" s="31"/>
      <c r="S40" s="46"/>
      <c r="T40" s="31"/>
      <c r="U40" s="46"/>
      <c r="V40" s="31"/>
      <c r="W40" s="46"/>
      <c r="X40" s="31"/>
      <c r="Y40" s="46"/>
      <c r="Z40" s="31"/>
      <c r="AA40" s="46"/>
    </row>
    <row r="41" ht="15.75" customHeight="1">
      <c r="A41" s="47" t="s">
        <v>62</v>
      </c>
      <c r="B41" s="48"/>
      <c r="C41" s="49" t="s">
        <v>63</v>
      </c>
      <c r="D41" s="31"/>
      <c r="E41" s="46"/>
      <c r="F41" s="31"/>
      <c r="G41" s="46"/>
      <c r="H41" s="31"/>
      <c r="I41" s="46"/>
      <c r="J41" s="31"/>
      <c r="K41" s="46"/>
      <c r="L41" s="31"/>
      <c r="M41" s="46"/>
      <c r="N41" s="31"/>
      <c r="O41" s="46"/>
      <c r="P41" s="31"/>
      <c r="Q41" s="46"/>
      <c r="R41" s="31"/>
      <c r="S41" s="46"/>
      <c r="T41" s="31"/>
      <c r="U41" s="46"/>
      <c r="V41" s="31"/>
      <c r="W41" s="46"/>
      <c r="X41" s="31"/>
      <c r="Y41" s="46"/>
      <c r="Z41" s="31"/>
      <c r="AA41" s="46"/>
    </row>
    <row r="42" ht="15.75" customHeight="1">
      <c r="A42" s="47" t="s">
        <v>361</v>
      </c>
      <c r="B42" s="48"/>
      <c r="C42" s="49" t="s">
        <v>362</v>
      </c>
      <c r="D42" s="31"/>
      <c r="E42" s="46"/>
      <c r="F42" s="31"/>
      <c r="G42" s="46"/>
      <c r="H42" s="31"/>
      <c r="I42" s="46"/>
      <c r="J42" s="31"/>
      <c r="K42" s="46"/>
      <c r="L42" s="31"/>
      <c r="M42" s="46"/>
      <c r="N42" s="31"/>
      <c r="O42" s="46"/>
      <c r="P42" s="31"/>
      <c r="Q42" s="46"/>
      <c r="R42" s="31"/>
      <c r="S42" s="46"/>
      <c r="T42" s="31"/>
      <c r="U42" s="46"/>
      <c r="V42" s="31"/>
      <c r="W42" s="46"/>
      <c r="X42" s="31"/>
      <c r="Y42" s="46"/>
      <c r="Z42" s="31"/>
      <c r="AA42" s="46"/>
    </row>
    <row r="43" ht="15.75" customHeight="1">
      <c r="A43" s="47" t="s">
        <v>44</v>
      </c>
      <c r="B43" s="48"/>
      <c r="C43" s="49" t="s">
        <v>45</v>
      </c>
      <c r="D43" s="31"/>
      <c r="E43" s="46"/>
      <c r="F43" s="31"/>
      <c r="G43" s="46"/>
      <c r="H43" s="31"/>
      <c r="I43" s="46"/>
      <c r="J43" s="31"/>
      <c r="K43" s="46"/>
      <c r="L43" s="31"/>
      <c r="M43" s="46"/>
      <c r="N43" s="31"/>
      <c r="O43" s="46"/>
      <c r="P43" s="31"/>
      <c r="Q43" s="46"/>
      <c r="R43" s="31"/>
      <c r="S43" s="46"/>
      <c r="T43" s="31"/>
      <c r="U43" s="46"/>
      <c r="V43" s="31"/>
      <c r="W43" s="46"/>
      <c r="X43" s="31"/>
      <c r="Y43" s="46"/>
      <c r="Z43" s="31"/>
      <c r="AA43" s="46"/>
    </row>
    <row r="44" ht="15.75" customHeight="1">
      <c r="A44" s="47" t="s">
        <v>429</v>
      </c>
      <c r="B44" s="48"/>
      <c r="C44" s="49" t="s">
        <v>430</v>
      </c>
      <c r="D44" s="31"/>
      <c r="E44" s="46"/>
      <c r="F44" s="31"/>
      <c r="G44" s="46"/>
      <c r="H44" s="31"/>
      <c r="I44" s="46"/>
      <c r="J44" s="31"/>
      <c r="K44" s="46"/>
      <c r="L44" s="31"/>
      <c r="M44" s="46"/>
      <c r="N44" s="31"/>
      <c r="O44" s="46"/>
      <c r="P44" s="31"/>
      <c r="Q44" s="46"/>
      <c r="R44" s="31"/>
      <c r="S44" s="46"/>
      <c r="T44" s="31"/>
      <c r="U44" s="46"/>
      <c r="V44" s="31"/>
      <c r="W44" s="46"/>
      <c r="X44" s="31"/>
      <c r="Y44" s="46"/>
      <c r="Z44" s="31"/>
      <c r="AA44" s="46"/>
    </row>
    <row r="45" ht="15.75" customHeight="1">
      <c r="A45" s="47" t="s">
        <v>335</v>
      </c>
      <c r="B45" s="48"/>
      <c r="C45" s="49" t="s">
        <v>336</v>
      </c>
      <c r="D45" s="31"/>
      <c r="E45" s="46"/>
      <c r="F45" s="31"/>
      <c r="G45" s="46"/>
      <c r="H45" s="31"/>
      <c r="I45" s="46"/>
      <c r="J45" s="31"/>
      <c r="K45" s="46"/>
      <c r="L45" s="31"/>
      <c r="M45" s="46"/>
      <c r="N45" s="31"/>
      <c r="O45" s="46"/>
      <c r="P45" s="31"/>
      <c r="Q45" s="46"/>
      <c r="R45" s="31"/>
      <c r="S45" s="46"/>
      <c r="T45" s="31"/>
      <c r="U45" s="46"/>
      <c r="V45" s="31"/>
      <c r="W45" s="46"/>
      <c r="X45" s="31"/>
      <c r="Y45" s="46"/>
      <c r="Z45" s="31"/>
      <c r="AA45" s="46"/>
    </row>
    <row r="46" ht="15.75" customHeight="1">
      <c r="A46" s="47" t="s">
        <v>66</v>
      </c>
      <c r="B46" s="48"/>
      <c r="C46" s="49" t="s">
        <v>67</v>
      </c>
      <c r="D46" s="31"/>
      <c r="E46" s="46"/>
      <c r="F46" s="31"/>
      <c r="G46" s="46"/>
      <c r="H46" s="31"/>
      <c r="I46" s="46"/>
      <c r="J46" s="31"/>
      <c r="K46" s="46"/>
      <c r="L46" s="31"/>
      <c r="M46" s="46"/>
      <c r="N46" s="31"/>
      <c r="O46" s="46"/>
      <c r="P46" s="31"/>
      <c r="Q46" s="46"/>
      <c r="R46" s="31"/>
      <c r="S46" s="46"/>
      <c r="T46" s="31"/>
      <c r="U46" s="46"/>
      <c r="V46" s="31"/>
      <c r="W46" s="46"/>
      <c r="X46" s="31"/>
      <c r="Y46" s="46"/>
      <c r="Z46" s="31"/>
      <c r="AA46" s="46"/>
    </row>
    <row r="47" ht="15.75" customHeight="1">
      <c r="A47" s="47" t="s">
        <v>20</v>
      </c>
      <c r="B47" s="48"/>
      <c r="C47" s="49" t="s">
        <v>21</v>
      </c>
      <c r="D47" s="31"/>
      <c r="E47" s="46"/>
      <c r="F47" s="31"/>
      <c r="G47" s="46"/>
      <c r="H47" s="31"/>
      <c r="I47" s="46"/>
      <c r="J47" s="31"/>
      <c r="K47" s="46"/>
      <c r="L47" s="31"/>
      <c r="M47" s="46"/>
      <c r="N47" s="31"/>
      <c r="O47" s="46"/>
      <c r="P47" s="31"/>
      <c r="Q47" s="46"/>
      <c r="R47" s="31"/>
      <c r="S47" s="46"/>
      <c r="T47" s="31"/>
      <c r="U47" s="46"/>
      <c r="V47" s="31"/>
      <c r="W47" s="46"/>
      <c r="X47" s="31"/>
      <c r="Y47" s="46"/>
      <c r="Z47" s="31"/>
      <c r="AA47" s="46"/>
    </row>
    <row r="48" ht="15.75" customHeight="1">
      <c r="A48" s="47" t="s">
        <v>456</v>
      </c>
      <c r="B48" s="48"/>
      <c r="C48" s="49" t="s">
        <v>457</v>
      </c>
      <c r="D48" s="31"/>
      <c r="E48" s="46"/>
      <c r="F48" s="31"/>
      <c r="G48" s="46"/>
      <c r="H48" s="31"/>
      <c r="I48" s="46"/>
      <c r="J48" s="31"/>
      <c r="K48" s="46"/>
      <c r="L48" s="31"/>
      <c r="M48" s="46"/>
      <c r="N48" s="31"/>
      <c r="O48" s="46"/>
      <c r="P48" s="31"/>
      <c r="Q48" s="46"/>
      <c r="R48" s="31"/>
      <c r="S48" s="46"/>
      <c r="T48" s="31"/>
      <c r="U48" s="46"/>
      <c r="V48" s="31"/>
      <c r="W48" s="46"/>
      <c r="X48" s="31"/>
      <c r="Y48" s="46"/>
      <c r="Z48" s="31"/>
      <c r="AA48" s="46"/>
    </row>
    <row r="49" ht="15.75" customHeight="1">
      <c r="A49" s="47" t="s">
        <v>55</v>
      </c>
      <c r="B49" s="48"/>
      <c r="C49" s="49" t="s">
        <v>56</v>
      </c>
      <c r="D49" s="31"/>
      <c r="E49" s="46"/>
      <c r="F49" s="31"/>
      <c r="G49" s="46"/>
      <c r="H49" s="31"/>
      <c r="I49" s="46"/>
      <c r="J49" s="31"/>
      <c r="K49" s="46"/>
      <c r="L49" s="31"/>
      <c r="M49" s="46"/>
      <c r="N49" s="31"/>
      <c r="O49" s="46"/>
      <c r="P49" s="31"/>
      <c r="Q49" s="46"/>
      <c r="R49" s="31"/>
      <c r="S49" s="46"/>
      <c r="T49" s="31"/>
      <c r="U49" s="46"/>
      <c r="V49" s="31"/>
      <c r="W49" s="46"/>
      <c r="X49" s="31"/>
      <c r="Y49" s="46"/>
      <c r="Z49" s="31"/>
      <c r="AA49" s="46"/>
    </row>
    <row r="50" ht="15.75" customHeight="1">
      <c r="A50" s="47" t="s">
        <v>383</v>
      </c>
      <c r="B50" s="48"/>
      <c r="C50" s="49" t="s">
        <v>384</v>
      </c>
      <c r="D50" s="31"/>
      <c r="E50" s="46"/>
      <c r="F50" s="31"/>
      <c r="G50" s="46"/>
      <c r="H50" s="31"/>
      <c r="I50" s="46"/>
      <c r="J50" s="31"/>
      <c r="K50" s="46"/>
      <c r="L50" s="31"/>
      <c r="M50" s="46"/>
      <c r="N50" s="31"/>
      <c r="O50" s="46"/>
      <c r="P50" s="31"/>
      <c r="Q50" s="46"/>
      <c r="R50" s="31"/>
      <c r="S50" s="46"/>
      <c r="T50" s="31"/>
      <c r="U50" s="46"/>
      <c r="V50" s="31"/>
      <c r="W50" s="46"/>
      <c r="X50" s="31"/>
      <c r="Y50" s="46"/>
      <c r="Z50" s="31"/>
      <c r="AA50" s="46"/>
    </row>
    <row r="51" ht="15.75" customHeight="1">
      <c r="A51" s="47" t="s">
        <v>406</v>
      </c>
      <c r="B51" s="48"/>
      <c r="C51" s="49" t="s">
        <v>407</v>
      </c>
      <c r="D51" s="31"/>
      <c r="E51" s="46"/>
      <c r="F51" s="31"/>
      <c r="G51" s="46"/>
      <c r="H51" s="31"/>
      <c r="I51" s="46"/>
      <c r="J51" s="31"/>
      <c r="K51" s="46"/>
      <c r="L51" s="31"/>
      <c r="M51" s="46"/>
      <c r="N51" s="31"/>
      <c r="O51" s="46"/>
      <c r="P51" s="31"/>
      <c r="Q51" s="46"/>
      <c r="R51" s="31"/>
      <c r="S51" s="46"/>
      <c r="T51" s="31"/>
      <c r="U51" s="46"/>
      <c r="V51" s="31"/>
      <c r="W51" s="46"/>
      <c r="X51" s="31"/>
      <c r="Y51" s="46"/>
      <c r="Z51" s="31"/>
      <c r="AA51" s="46"/>
    </row>
    <row r="52" ht="15.75" customHeight="1">
      <c r="A52" s="47" t="s">
        <v>431</v>
      </c>
      <c r="B52" s="48"/>
      <c r="C52" s="49" t="s">
        <v>432</v>
      </c>
      <c r="D52" s="31"/>
      <c r="E52" s="46"/>
      <c r="F52" s="31"/>
      <c r="G52" s="46"/>
      <c r="H52" s="31"/>
      <c r="I52" s="46"/>
      <c r="J52" s="31"/>
      <c r="K52" s="46"/>
      <c r="L52" s="31"/>
      <c r="M52" s="46"/>
      <c r="N52" s="31"/>
      <c r="O52" s="46"/>
      <c r="P52" s="31"/>
      <c r="Q52" s="46"/>
      <c r="R52" s="31"/>
      <c r="S52" s="46"/>
      <c r="T52" s="31"/>
      <c r="U52" s="46"/>
      <c r="V52" s="31"/>
      <c r="W52" s="46"/>
      <c r="X52" s="31"/>
      <c r="Y52" s="46"/>
      <c r="Z52" s="31"/>
      <c r="AA52" s="46"/>
    </row>
    <row r="53" ht="15.75" customHeight="1">
      <c r="A53" s="47" t="s">
        <v>49</v>
      </c>
      <c r="B53" s="48"/>
      <c r="C53" s="49" t="s">
        <v>50</v>
      </c>
      <c r="D53" s="31"/>
      <c r="E53" s="46"/>
      <c r="F53" s="31"/>
      <c r="G53" s="46"/>
      <c r="H53" s="31"/>
      <c r="I53" s="46"/>
      <c r="J53" s="31"/>
      <c r="K53" s="46"/>
      <c r="L53" s="31"/>
      <c r="M53" s="46"/>
      <c r="N53" s="31"/>
      <c r="O53" s="46"/>
      <c r="P53" s="31"/>
      <c r="Q53" s="46"/>
      <c r="R53" s="31"/>
      <c r="S53" s="46"/>
      <c r="T53" s="31"/>
      <c r="U53" s="46"/>
      <c r="V53" s="31"/>
      <c r="W53" s="46"/>
      <c r="X53" s="31"/>
      <c r="Y53" s="46"/>
      <c r="Z53" s="31"/>
      <c r="AA53" s="46"/>
    </row>
    <row r="54" ht="15.75" customHeight="1">
      <c r="A54" s="47" t="s">
        <v>441</v>
      </c>
      <c r="B54" s="48"/>
      <c r="C54" s="49" t="s">
        <v>442</v>
      </c>
      <c r="D54" s="31"/>
      <c r="E54" s="46"/>
      <c r="F54" s="31"/>
      <c r="G54" s="46"/>
      <c r="H54" s="31"/>
      <c r="I54" s="46"/>
      <c r="J54" s="31"/>
      <c r="K54" s="46"/>
      <c r="L54" s="31"/>
      <c r="M54" s="46"/>
      <c r="N54" s="31"/>
      <c r="O54" s="46"/>
      <c r="P54" s="31"/>
      <c r="Q54" s="46"/>
      <c r="R54" s="31"/>
      <c r="S54" s="46"/>
      <c r="T54" s="31"/>
      <c r="U54" s="46"/>
      <c r="V54" s="31"/>
      <c r="W54" s="46"/>
      <c r="X54" s="31"/>
      <c r="Y54" s="46"/>
      <c r="Z54" s="31"/>
      <c r="AA54" s="46"/>
    </row>
    <row r="55" ht="15.75" customHeight="1">
      <c r="A55" s="47" t="s">
        <v>165</v>
      </c>
      <c r="B55" s="48"/>
      <c r="C55" s="49" t="s">
        <v>166</v>
      </c>
      <c r="D55" s="31"/>
      <c r="E55" s="46"/>
      <c r="F55" s="31"/>
      <c r="G55" s="46"/>
      <c r="H55" s="31"/>
      <c r="I55" s="46"/>
      <c r="J55" s="31"/>
      <c r="K55" s="46"/>
      <c r="L55" s="31"/>
      <c r="M55" s="46"/>
      <c r="N55" s="31"/>
      <c r="O55" s="46"/>
      <c r="P55" s="31"/>
      <c r="Q55" s="46"/>
      <c r="R55" s="31"/>
      <c r="S55" s="46"/>
      <c r="T55" s="31"/>
      <c r="U55" s="46"/>
      <c r="V55" s="31"/>
      <c r="W55" s="46"/>
      <c r="X55" s="31"/>
      <c r="Y55" s="46"/>
      <c r="Z55" s="31"/>
      <c r="AA55" s="46"/>
    </row>
    <row r="56" ht="15.75" customHeight="1">
      <c r="A56" s="47" t="s">
        <v>393</v>
      </c>
      <c r="B56" s="48"/>
      <c r="C56" s="49" t="s">
        <v>394</v>
      </c>
      <c r="D56" s="31"/>
      <c r="E56" s="46"/>
      <c r="F56" s="31"/>
      <c r="G56" s="46"/>
      <c r="H56" s="31"/>
      <c r="I56" s="46"/>
      <c r="J56" s="31"/>
      <c r="K56" s="46"/>
      <c r="L56" s="31"/>
      <c r="M56" s="46"/>
      <c r="N56" s="31"/>
      <c r="O56" s="46"/>
      <c r="P56" s="31"/>
      <c r="Q56" s="46"/>
      <c r="R56" s="31"/>
      <c r="S56" s="46"/>
      <c r="T56" s="31"/>
      <c r="U56" s="46"/>
      <c r="V56" s="31"/>
      <c r="W56" s="46"/>
      <c r="X56" s="31"/>
      <c r="Y56" s="46"/>
      <c r="Z56" s="31"/>
      <c r="AA56" s="46"/>
    </row>
    <row r="57" ht="15.75" customHeight="1">
      <c r="A57" s="47" t="s">
        <v>507</v>
      </c>
      <c r="B57" s="50"/>
      <c r="C57" s="50" t="s">
        <v>508</v>
      </c>
      <c r="D57" s="31"/>
      <c r="E57" s="46"/>
      <c r="F57" s="31"/>
      <c r="G57" s="46"/>
      <c r="H57" s="31"/>
      <c r="I57" s="46"/>
      <c r="J57" s="31"/>
      <c r="K57" s="46"/>
      <c r="L57" s="31"/>
      <c r="M57" s="46"/>
      <c r="N57" s="31"/>
      <c r="O57" s="46"/>
      <c r="P57" s="31"/>
      <c r="Q57" s="46"/>
      <c r="R57" s="31"/>
      <c r="S57" s="46"/>
      <c r="T57" s="31"/>
      <c r="U57" s="46"/>
      <c r="V57" s="31"/>
      <c r="W57" s="46"/>
      <c r="X57" s="31"/>
      <c r="Y57" s="46"/>
      <c r="Z57" s="31"/>
      <c r="AA57" s="46"/>
    </row>
    <row r="58" ht="15.75" customHeight="1">
      <c r="A58" s="47" t="s">
        <v>211</v>
      </c>
      <c r="B58" s="48"/>
      <c r="C58" s="49" t="s">
        <v>212</v>
      </c>
      <c r="D58" s="31"/>
      <c r="E58" s="46"/>
      <c r="F58" s="31"/>
      <c r="G58" s="46"/>
      <c r="H58" s="31"/>
      <c r="I58" s="46"/>
      <c r="J58" s="31"/>
      <c r="K58" s="46"/>
      <c r="L58" s="31"/>
      <c r="M58" s="46"/>
      <c r="N58" s="31"/>
      <c r="O58" s="46"/>
      <c r="P58" s="31"/>
      <c r="Q58" s="46"/>
      <c r="R58" s="31"/>
      <c r="S58" s="46"/>
      <c r="T58" s="31"/>
      <c r="U58" s="46"/>
      <c r="V58" s="31"/>
      <c r="W58" s="46"/>
      <c r="X58" s="31"/>
      <c r="Y58" s="46"/>
      <c r="Z58" s="31"/>
      <c r="AA58" s="46"/>
    </row>
    <row r="59" ht="15.75" customHeight="1">
      <c r="A59" s="47" t="s">
        <v>234</v>
      </c>
      <c r="B59" s="48"/>
      <c r="C59" s="49" t="s">
        <v>235</v>
      </c>
      <c r="D59" s="31"/>
      <c r="E59" s="46"/>
      <c r="F59" s="31"/>
      <c r="G59" s="46"/>
      <c r="H59" s="31"/>
      <c r="I59" s="46"/>
      <c r="J59" s="31"/>
      <c r="K59" s="46"/>
      <c r="L59" s="31"/>
      <c r="M59" s="46"/>
      <c r="N59" s="31"/>
      <c r="O59" s="46"/>
      <c r="P59" s="31"/>
      <c r="Q59" s="46"/>
      <c r="R59" s="31"/>
      <c r="S59" s="46"/>
      <c r="T59" s="31"/>
      <c r="U59" s="46"/>
      <c r="V59" s="31"/>
      <c r="W59" s="46"/>
      <c r="X59" s="31"/>
      <c r="Y59" s="46"/>
      <c r="Z59" s="31"/>
      <c r="AA59" s="46"/>
    </row>
    <row r="60" ht="15.75" customHeight="1">
      <c r="A60" s="47" t="s">
        <v>127</v>
      </c>
      <c r="B60" s="48"/>
      <c r="C60" s="49" t="s">
        <v>128</v>
      </c>
      <c r="D60" s="31"/>
      <c r="E60" s="46"/>
      <c r="F60" s="31"/>
      <c r="G60" s="46"/>
      <c r="H60" s="31"/>
      <c r="I60" s="46"/>
      <c r="J60" s="31"/>
      <c r="K60" s="46"/>
      <c r="L60" s="31"/>
      <c r="M60" s="46"/>
      <c r="N60" s="31"/>
      <c r="O60" s="46"/>
      <c r="P60" s="31"/>
      <c r="Q60" s="46"/>
      <c r="R60" s="31"/>
      <c r="S60" s="46"/>
      <c r="T60" s="31"/>
      <c r="U60" s="46"/>
      <c r="V60" s="31"/>
      <c r="W60" s="46"/>
      <c r="X60" s="31"/>
      <c r="Y60" s="46"/>
      <c r="Z60" s="31"/>
      <c r="AA60" s="46"/>
    </row>
    <row r="61" ht="15.75" customHeight="1">
      <c r="A61" s="47" t="s">
        <v>263</v>
      </c>
      <c r="B61" s="48"/>
      <c r="C61" s="49" t="s">
        <v>264</v>
      </c>
      <c r="D61" s="31"/>
      <c r="E61" s="46"/>
      <c r="F61" s="31"/>
      <c r="G61" s="46"/>
      <c r="H61" s="31"/>
      <c r="I61" s="46"/>
      <c r="J61" s="31"/>
      <c r="K61" s="46"/>
      <c r="L61" s="31"/>
      <c r="M61" s="46"/>
      <c r="N61" s="31"/>
      <c r="O61" s="46"/>
      <c r="P61" s="31"/>
      <c r="Q61" s="46"/>
      <c r="R61" s="31"/>
      <c r="S61" s="46"/>
      <c r="T61" s="31"/>
      <c r="U61" s="46"/>
      <c r="V61" s="31"/>
      <c r="W61" s="46"/>
      <c r="X61" s="31"/>
      <c r="Y61" s="46"/>
      <c r="Z61" s="31"/>
      <c r="AA61" s="46"/>
    </row>
    <row r="62" ht="15.75" customHeight="1">
      <c r="A62" s="47" t="s">
        <v>239</v>
      </c>
      <c r="B62" s="48"/>
      <c r="C62" s="49" t="s">
        <v>240</v>
      </c>
      <c r="D62" s="31"/>
      <c r="E62" s="46"/>
      <c r="F62" s="31"/>
      <c r="G62" s="46"/>
      <c r="H62" s="31"/>
      <c r="I62" s="46"/>
      <c r="J62" s="31"/>
      <c r="K62" s="46"/>
      <c r="L62" s="31"/>
      <c r="M62" s="46"/>
      <c r="N62" s="31"/>
      <c r="O62" s="46"/>
      <c r="P62" s="31"/>
      <c r="Q62" s="46"/>
      <c r="R62" s="31"/>
      <c r="S62" s="46"/>
      <c r="T62" s="31"/>
      <c r="U62" s="46"/>
      <c r="V62" s="31"/>
      <c r="W62" s="46"/>
      <c r="X62" s="31"/>
      <c r="Y62" s="46"/>
      <c r="Z62" s="31"/>
      <c r="AA62" s="46"/>
    </row>
    <row r="63" ht="15.75" customHeight="1">
      <c r="A63" s="47" t="s">
        <v>245</v>
      </c>
      <c r="B63" s="48"/>
      <c r="C63" s="49" t="s">
        <v>246</v>
      </c>
      <c r="D63" s="31"/>
      <c r="E63" s="46"/>
      <c r="F63" s="31"/>
      <c r="G63" s="46"/>
      <c r="H63" s="31"/>
      <c r="I63" s="46"/>
      <c r="J63" s="31"/>
      <c r="K63" s="46"/>
      <c r="L63" s="31"/>
      <c r="M63" s="46"/>
      <c r="N63" s="31"/>
      <c r="O63" s="46"/>
      <c r="P63" s="31"/>
      <c r="Q63" s="46"/>
      <c r="R63" s="31"/>
      <c r="S63" s="46"/>
      <c r="T63" s="31"/>
      <c r="U63" s="46"/>
      <c r="V63" s="31"/>
      <c r="W63" s="46"/>
      <c r="X63" s="31"/>
      <c r="Y63" s="46"/>
      <c r="Z63" s="31"/>
      <c r="AA63" s="46"/>
    </row>
    <row r="64" ht="15.75" customHeight="1">
      <c r="A64" s="47" t="s">
        <v>412</v>
      </c>
      <c r="B64" s="48"/>
      <c r="C64" s="49" t="s">
        <v>413</v>
      </c>
      <c r="D64" s="31"/>
      <c r="E64" s="46"/>
      <c r="F64" s="31"/>
      <c r="G64" s="46"/>
      <c r="H64" s="31"/>
      <c r="I64" s="46"/>
      <c r="J64" s="31"/>
      <c r="K64" s="46"/>
      <c r="L64" s="31"/>
      <c r="M64" s="46"/>
      <c r="N64" s="31"/>
      <c r="O64" s="46"/>
      <c r="P64" s="31"/>
      <c r="Q64" s="46"/>
      <c r="R64" s="31"/>
      <c r="S64" s="46"/>
      <c r="T64" s="31"/>
      <c r="U64" s="46"/>
      <c r="V64" s="31"/>
      <c r="W64" s="46"/>
      <c r="X64" s="31"/>
      <c r="Y64" s="46"/>
      <c r="Z64" s="31"/>
      <c r="AA64" s="46"/>
    </row>
    <row r="65" ht="15.75" customHeight="1">
      <c r="A65" s="47" t="s">
        <v>79</v>
      </c>
      <c r="B65" s="48"/>
      <c r="C65" s="49" t="s">
        <v>80</v>
      </c>
      <c r="D65" s="31"/>
      <c r="E65" s="46"/>
      <c r="F65" s="31"/>
      <c r="G65" s="46"/>
      <c r="H65" s="31"/>
      <c r="I65" s="46"/>
      <c r="J65" s="31"/>
      <c r="K65" s="46"/>
      <c r="L65" s="31"/>
      <c r="M65" s="46"/>
      <c r="N65" s="31"/>
      <c r="O65" s="46"/>
      <c r="P65" s="31"/>
      <c r="Q65" s="46"/>
      <c r="R65" s="31"/>
      <c r="S65" s="46"/>
      <c r="T65" s="31"/>
      <c r="U65" s="46"/>
      <c r="V65" s="31"/>
      <c r="W65" s="46"/>
      <c r="X65" s="31"/>
      <c r="Y65" s="46"/>
      <c r="Z65" s="31"/>
      <c r="AA65" s="46"/>
    </row>
    <row r="66" ht="15.75" customHeight="1">
      <c r="A66" s="47" t="s">
        <v>419</v>
      </c>
      <c r="B66" s="48"/>
      <c r="C66" s="49" t="s">
        <v>420</v>
      </c>
      <c r="D66" s="31"/>
      <c r="E66" s="46"/>
      <c r="F66" s="31"/>
      <c r="G66" s="46"/>
      <c r="H66" s="31"/>
      <c r="I66" s="46"/>
      <c r="J66" s="31"/>
      <c r="K66" s="46"/>
      <c r="L66" s="31"/>
      <c r="M66" s="46"/>
      <c r="N66" s="31"/>
      <c r="O66" s="46"/>
      <c r="P66" s="31"/>
      <c r="Q66" s="46"/>
      <c r="R66" s="31"/>
      <c r="S66" s="46"/>
      <c r="T66" s="31"/>
      <c r="U66" s="46"/>
      <c r="V66" s="31"/>
      <c r="W66" s="46"/>
      <c r="X66" s="31"/>
      <c r="Y66" s="46"/>
      <c r="Z66" s="31"/>
      <c r="AA66" s="46"/>
    </row>
    <row r="67" ht="15.75" customHeight="1">
      <c r="A67" s="47" t="s">
        <v>415</v>
      </c>
      <c r="B67" s="48"/>
      <c r="C67" s="49" t="s">
        <v>416</v>
      </c>
      <c r="D67" s="31"/>
      <c r="E67" s="46"/>
      <c r="F67" s="31"/>
      <c r="G67" s="46"/>
      <c r="H67" s="31"/>
      <c r="I67" s="46"/>
      <c r="J67" s="31"/>
      <c r="K67" s="46"/>
      <c r="L67" s="31"/>
      <c r="M67" s="46"/>
      <c r="N67" s="31"/>
      <c r="O67" s="46"/>
      <c r="P67" s="31"/>
      <c r="Q67" s="46"/>
      <c r="R67" s="31"/>
      <c r="S67" s="46"/>
      <c r="T67" s="31"/>
      <c r="U67" s="46"/>
      <c r="V67" s="31"/>
      <c r="W67" s="46"/>
      <c r="X67" s="31"/>
      <c r="Y67" s="46"/>
      <c r="Z67" s="31"/>
      <c r="AA67" s="46"/>
    </row>
    <row r="68" ht="15.75" customHeight="1">
      <c r="A68" s="47" t="s">
        <v>311</v>
      </c>
      <c r="B68" s="48"/>
      <c r="C68" s="49" t="s">
        <v>312</v>
      </c>
      <c r="D68" s="31"/>
      <c r="E68" s="46"/>
      <c r="F68" s="31"/>
      <c r="G68" s="46"/>
      <c r="H68" s="31"/>
      <c r="I68" s="46"/>
      <c r="J68" s="31"/>
      <c r="K68" s="46"/>
      <c r="L68" s="31"/>
      <c r="M68" s="46"/>
      <c r="N68" s="31"/>
      <c r="O68" s="46"/>
      <c r="P68" s="31"/>
      <c r="Q68" s="46"/>
      <c r="R68" s="31"/>
      <c r="S68" s="46"/>
      <c r="T68" s="31"/>
      <c r="U68" s="46"/>
      <c r="V68" s="31"/>
      <c r="W68" s="46"/>
      <c r="X68" s="31"/>
      <c r="Y68" s="46"/>
      <c r="Z68" s="31"/>
      <c r="AA68" s="46"/>
    </row>
    <row r="69" ht="15.75" customHeight="1">
      <c r="A69" s="47" t="s">
        <v>421</v>
      </c>
      <c r="B69" s="48"/>
      <c r="C69" s="49" t="s">
        <v>422</v>
      </c>
      <c r="D69" s="31"/>
      <c r="E69" s="46"/>
      <c r="F69" s="31"/>
      <c r="G69" s="46"/>
      <c r="H69" s="31"/>
      <c r="I69" s="46"/>
      <c r="J69" s="31"/>
      <c r="K69" s="46"/>
      <c r="L69" s="31"/>
      <c r="M69" s="46"/>
      <c r="N69" s="31"/>
      <c r="O69" s="46"/>
      <c r="P69" s="31"/>
      <c r="Q69" s="46"/>
      <c r="R69" s="31"/>
      <c r="S69" s="46"/>
      <c r="T69" s="31"/>
      <c r="U69" s="46"/>
      <c r="V69" s="31"/>
      <c r="W69" s="46"/>
      <c r="X69" s="31"/>
      <c r="Y69" s="46"/>
      <c r="Z69" s="31"/>
      <c r="AA69" s="46"/>
    </row>
    <row r="70" ht="15.75" customHeight="1">
      <c r="A70" s="47" t="s">
        <v>182</v>
      </c>
      <c r="B70" s="48"/>
      <c r="C70" s="49" t="s">
        <v>183</v>
      </c>
      <c r="D70" s="31"/>
      <c r="E70" s="46"/>
      <c r="F70" s="31"/>
      <c r="G70" s="46"/>
      <c r="H70" s="31"/>
      <c r="I70" s="46"/>
      <c r="J70" s="31"/>
      <c r="K70" s="46"/>
      <c r="L70" s="31"/>
      <c r="M70" s="46"/>
      <c r="N70" s="31"/>
      <c r="O70" s="46"/>
      <c r="P70" s="31"/>
      <c r="Q70" s="46"/>
      <c r="R70" s="31"/>
      <c r="S70" s="46"/>
      <c r="T70" s="31"/>
      <c r="U70" s="46"/>
      <c r="V70" s="31"/>
      <c r="W70" s="46"/>
      <c r="X70" s="31"/>
      <c r="Y70" s="46"/>
      <c r="Z70" s="31"/>
      <c r="AA70" s="46"/>
    </row>
    <row r="71" ht="15.75" customHeight="1">
      <c r="A71" s="47" t="s">
        <v>356</v>
      </c>
      <c r="B71" s="48"/>
      <c r="C71" s="49" t="s">
        <v>357</v>
      </c>
      <c r="D71" s="31"/>
      <c r="E71" s="46"/>
      <c r="F71" s="31"/>
      <c r="G71" s="46"/>
      <c r="H71" s="31"/>
      <c r="I71" s="46"/>
      <c r="J71" s="31"/>
      <c r="K71" s="46"/>
      <c r="L71" s="31"/>
      <c r="M71" s="46"/>
      <c r="N71" s="31"/>
      <c r="O71" s="46"/>
      <c r="P71" s="31"/>
      <c r="Q71" s="46"/>
      <c r="R71" s="31"/>
      <c r="S71" s="46"/>
      <c r="T71" s="31"/>
      <c r="U71" s="46"/>
      <c r="V71" s="31"/>
      <c r="W71" s="46"/>
      <c r="X71" s="31"/>
      <c r="Y71" s="46"/>
      <c r="Z71" s="31"/>
      <c r="AA71" s="46"/>
    </row>
    <row r="72" ht="15.75" customHeight="1">
      <c r="A72" s="1" t="s">
        <v>389</v>
      </c>
      <c r="B72" s="4"/>
      <c r="C72" s="4" t="s">
        <v>390</v>
      </c>
      <c r="D72" s="4">
        <v>10310.0</v>
      </c>
      <c r="E72" s="6" t="s">
        <v>15</v>
      </c>
      <c r="F72" s="6" t="s">
        <v>391</v>
      </c>
      <c r="G72" s="6" t="s">
        <v>53</v>
      </c>
    </row>
    <row r="73" ht="15.75" customHeight="1">
      <c r="A73" s="1" t="s">
        <v>266</v>
      </c>
      <c r="B73" s="4"/>
      <c r="C73" s="4" t="s">
        <v>267</v>
      </c>
      <c r="D73" s="4">
        <v>10529.0</v>
      </c>
      <c r="E73" s="6" t="s">
        <v>64</v>
      </c>
      <c r="F73" s="6" t="s">
        <v>65</v>
      </c>
      <c r="G73" s="6" t="s">
        <v>53</v>
      </c>
    </row>
    <row r="74" ht="15.75" customHeight="1">
      <c r="A74" s="1" t="s">
        <v>171</v>
      </c>
      <c r="B74" s="4"/>
      <c r="C74" s="4" t="s">
        <v>172</v>
      </c>
      <c r="D74" s="4">
        <v>9697.0</v>
      </c>
      <c r="E74" s="6" t="s">
        <v>41</v>
      </c>
      <c r="F74" s="6" t="s">
        <v>159</v>
      </c>
      <c r="G74" s="6" t="s">
        <v>53</v>
      </c>
    </row>
    <row r="75" ht="15.75" customHeight="1">
      <c r="A75" s="1" t="s">
        <v>168</v>
      </c>
      <c r="B75" s="4"/>
      <c r="C75" s="4" t="s">
        <v>169</v>
      </c>
      <c r="D75" s="4">
        <v>9563.0</v>
      </c>
      <c r="E75" s="6" t="s">
        <v>41</v>
      </c>
      <c r="F75" s="6" t="s">
        <v>159</v>
      </c>
      <c r="G75" s="6" t="s">
        <v>53</v>
      </c>
    </row>
    <row r="76" ht="15.75" customHeight="1">
      <c r="A76" s="1" t="s">
        <v>321</v>
      </c>
      <c r="B76" s="4"/>
      <c r="C76" s="4" t="s">
        <v>322</v>
      </c>
      <c r="D76" s="4">
        <v>10286.0</v>
      </c>
      <c r="E76" s="6" t="s">
        <v>41</v>
      </c>
      <c r="F76" s="6" t="s">
        <v>159</v>
      </c>
      <c r="G76" s="6" t="s">
        <v>180</v>
      </c>
    </row>
    <row r="77" ht="15.75" customHeight="1">
      <c r="A77" s="1" t="s">
        <v>173</v>
      </c>
      <c r="B77" s="4"/>
      <c r="C77" s="4" t="s">
        <v>174</v>
      </c>
      <c r="D77" s="4">
        <v>11165.0</v>
      </c>
      <c r="E77" s="6" t="s">
        <v>41</v>
      </c>
      <c r="F77" s="6" t="s">
        <v>159</v>
      </c>
      <c r="G77" s="6" t="s">
        <v>53</v>
      </c>
    </row>
    <row r="78" ht="15.75" customHeight="1">
      <c r="A78" s="1" t="s">
        <v>302</v>
      </c>
      <c r="B78" s="4"/>
      <c r="C78" s="4" t="s">
        <v>303</v>
      </c>
      <c r="D78" s="4">
        <v>11193.0</v>
      </c>
      <c r="E78" s="6" t="s">
        <v>15</v>
      </c>
      <c r="F78" s="6" t="s">
        <v>109</v>
      </c>
    </row>
    <row r="79" ht="15.75" customHeight="1">
      <c r="A79" s="1" t="s">
        <v>417</v>
      </c>
      <c r="B79" s="4"/>
      <c r="C79" s="4" t="s">
        <v>418</v>
      </c>
      <c r="D79" s="4">
        <v>12613.0</v>
      </c>
      <c r="E79" s="6" t="s">
        <v>41</v>
      </c>
      <c r="F79" s="6" t="s">
        <v>159</v>
      </c>
      <c r="G79" s="6" t="s">
        <v>180</v>
      </c>
    </row>
    <row r="80" ht="15.75" customHeight="1">
      <c r="A80" s="1" t="s">
        <v>409</v>
      </c>
      <c r="B80" s="4"/>
      <c r="C80" s="4" t="s">
        <v>410</v>
      </c>
      <c r="D80" s="4">
        <v>11403.0</v>
      </c>
      <c r="E80" s="6" t="s">
        <v>64</v>
      </c>
      <c r="F80" s="6" t="s">
        <v>65</v>
      </c>
      <c r="G80" s="6" t="s">
        <v>53</v>
      </c>
    </row>
    <row r="81" ht="15.75" customHeight="1">
      <c r="A81" s="1" t="s">
        <v>218</v>
      </c>
      <c r="B81" s="4"/>
      <c r="C81" s="4" t="s">
        <v>219</v>
      </c>
      <c r="D81" s="4">
        <v>15480.0</v>
      </c>
      <c r="E81" s="6" t="s">
        <v>64</v>
      </c>
      <c r="F81" s="6" t="s">
        <v>65</v>
      </c>
      <c r="G81" s="6" t="s">
        <v>53</v>
      </c>
    </row>
    <row r="82" ht="15.75" customHeight="1">
      <c r="A82" s="1" t="s">
        <v>162</v>
      </c>
      <c r="B82" s="4"/>
      <c r="C82" s="4" t="s">
        <v>163</v>
      </c>
      <c r="D82" s="4">
        <v>12392.0</v>
      </c>
      <c r="E82" s="6" t="s">
        <v>41</v>
      </c>
      <c r="F82" s="6" t="s">
        <v>159</v>
      </c>
      <c r="G82" s="6" t="s">
        <v>53</v>
      </c>
    </row>
    <row r="83" ht="15.75" customHeight="1">
      <c r="A83" s="1" t="s">
        <v>46</v>
      </c>
      <c r="B83" s="4"/>
      <c r="C83" s="4" t="s">
        <v>47</v>
      </c>
      <c r="D83" s="4">
        <v>11780.0</v>
      </c>
      <c r="E83" s="6" t="s">
        <v>15</v>
      </c>
      <c r="F83" s="6" t="s">
        <v>22</v>
      </c>
      <c r="G83" s="6" t="s">
        <v>17</v>
      </c>
    </row>
    <row r="84" ht="15.75" customHeight="1">
      <c r="A84" s="1" t="s">
        <v>290</v>
      </c>
      <c r="B84" s="4"/>
      <c r="C84" s="4" t="s">
        <v>291</v>
      </c>
      <c r="D84" s="4">
        <v>22471.0</v>
      </c>
      <c r="E84" s="6" t="s">
        <v>64</v>
      </c>
      <c r="F84" s="6" t="s">
        <v>65</v>
      </c>
      <c r="G84" s="6" t="s">
        <v>53</v>
      </c>
    </row>
    <row r="85" ht="15.75" customHeight="1">
      <c r="A85" s="1" t="s">
        <v>76</v>
      </c>
      <c r="B85" s="4"/>
      <c r="C85" s="4" t="s">
        <v>77</v>
      </c>
      <c r="D85" s="4">
        <v>16559.0</v>
      </c>
      <c r="E85" s="6" t="s">
        <v>51</v>
      </c>
      <c r="F85" s="6" t="s">
        <v>74</v>
      </c>
      <c r="G85" s="6" t="s">
        <v>53</v>
      </c>
    </row>
    <row r="86" ht="15.75" customHeight="1">
      <c r="A86" s="1" t="s">
        <v>371</v>
      </c>
      <c r="B86" s="4"/>
      <c r="C86" s="4" t="s">
        <v>372</v>
      </c>
      <c r="D86" s="4">
        <v>9139.0</v>
      </c>
      <c r="E86" s="6" t="s">
        <v>51</v>
      </c>
      <c r="G86" s="6" t="s">
        <v>180</v>
      </c>
    </row>
    <row r="87" ht="15.75" customHeight="1">
      <c r="A87" s="1" t="s">
        <v>386</v>
      </c>
      <c r="B87" s="4"/>
      <c r="C87" s="4" t="s">
        <v>387</v>
      </c>
      <c r="D87" s="4">
        <v>13984.0</v>
      </c>
    </row>
    <row r="88" ht="15.75" customHeight="1">
      <c r="A88" s="1" t="s">
        <v>448</v>
      </c>
      <c r="B88" s="4"/>
      <c r="C88" s="4" t="s">
        <v>449</v>
      </c>
      <c r="D88" s="4">
        <v>13498.0</v>
      </c>
      <c r="E88" s="6" t="s">
        <v>64</v>
      </c>
      <c r="F88" s="6" t="s">
        <v>65</v>
      </c>
      <c r="G88" s="6" t="s">
        <v>53</v>
      </c>
      <c r="H88" s="6" t="s">
        <v>150</v>
      </c>
    </row>
    <row r="89" ht="15.75" customHeight="1">
      <c r="A89" s="1" t="s">
        <v>93</v>
      </c>
      <c r="B89" s="4"/>
      <c r="C89" s="4" t="s">
        <v>94</v>
      </c>
      <c r="D89" s="4">
        <v>13202.0</v>
      </c>
      <c r="E89" s="6" t="s">
        <v>64</v>
      </c>
      <c r="F89" s="6" t="s">
        <v>65</v>
      </c>
      <c r="G89" s="6" t="s">
        <v>53</v>
      </c>
    </row>
    <row r="90" ht="15.75" customHeight="1">
      <c r="A90" s="1" t="s">
        <v>270</v>
      </c>
      <c r="B90" s="4"/>
      <c r="C90" s="4" t="s">
        <v>271</v>
      </c>
      <c r="D90" s="4">
        <v>14242.0</v>
      </c>
      <c r="E90" s="6" t="s">
        <v>41</v>
      </c>
      <c r="F90" s="6" t="s">
        <v>272</v>
      </c>
      <c r="G90" s="6" t="s">
        <v>31</v>
      </c>
    </row>
    <row r="91" ht="15.75" customHeight="1">
      <c r="A91" s="1" t="s">
        <v>445</v>
      </c>
      <c r="B91" s="4"/>
      <c r="C91" s="4" t="s">
        <v>446</v>
      </c>
      <c r="D91" s="4">
        <v>25980.0</v>
      </c>
      <c r="E91" s="6" t="s">
        <v>64</v>
      </c>
      <c r="F91" s="6" t="s">
        <v>65</v>
      </c>
      <c r="G91" s="6" t="s">
        <v>53</v>
      </c>
    </row>
    <row r="92" ht="15.75" customHeight="1">
      <c r="A92" s="1" t="s">
        <v>148</v>
      </c>
      <c r="B92" s="4"/>
      <c r="C92" s="4" t="s">
        <v>149</v>
      </c>
      <c r="D92" s="4">
        <v>18214.0</v>
      </c>
      <c r="E92" s="6" t="s">
        <v>64</v>
      </c>
      <c r="F92" s="6" t="s">
        <v>65</v>
      </c>
      <c r="G92" s="6" t="s">
        <v>53</v>
      </c>
    </row>
    <row r="93" ht="15.75" customHeight="1">
      <c r="A93" s="1" t="s">
        <v>260</v>
      </c>
      <c r="B93" s="4"/>
      <c r="C93" s="4" t="s">
        <v>261</v>
      </c>
      <c r="D93" s="4">
        <v>42260.0</v>
      </c>
      <c r="E93" s="6" t="s">
        <v>64</v>
      </c>
      <c r="F93" s="6" t="s">
        <v>65</v>
      </c>
      <c r="G93" s="6" t="s">
        <v>53</v>
      </c>
      <c r="H93" s="6" t="s">
        <v>262</v>
      </c>
    </row>
    <row r="94" ht="15.75" customHeight="1">
      <c r="A94" s="1" t="s">
        <v>323</v>
      </c>
      <c r="B94" s="4"/>
      <c r="C94" s="4" t="s">
        <v>324</v>
      </c>
      <c r="D94" s="4">
        <v>12815.0</v>
      </c>
      <c r="E94" s="6" t="s">
        <v>41</v>
      </c>
      <c r="F94" s="6" t="s">
        <v>159</v>
      </c>
      <c r="G94" s="6" t="s">
        <v>180</v>
      </c>
    </row>
    <row r="95" ht="15.75" customHeight="1">
      <c r="A95" s="1" t="s">
        <v>95</v>
      </c>
      <c r="B95" s="4"/>
      <c r="C95" s="4" t="s">
        <v>96</v>
      </c>
      <c r="D95" s="4">
        <v>36243.0</v>
      </c>
      <c r="E95" s="6" t="s">
        <v>51</v>
      </c>
      <c r="F95" s="6" t="s">
        <v>97</v>
      </c>
      <c r="G95" s="6" t="s">
        <v>98</v>
      </c>
    </row>
    <row r="96" ht="15.75" customHeight="1">
      <c r="A96" s="1" t="s">
        <v>472</v>
      </c>
      <c r="B96" s="51" t="s">
        <v>473</v>
      </c>
      <c r="C96" s="4" t="s">
        <v>474</v>
      </c>
      <c r="D96" s="4">
        <v>10599.0</v>
      </c>
    </row>
    <row r="97" ht="15.75" customHeight="1">
      <c r="A97" s="1" t="s">
        <v>437</v>
      </c>
      <c r="B97" s="4"/>
      <c r="C97" s="4" t="s">
        <v>438</v>
      </c>
      <c r="D97" s="4">
        <v>12164.0</v>
      </c>
      <c r="E97" s="6" t="s">
        <v>64</v>
      </c>
      <c r="F97" s="6" t="s">
        <v>65</v>
      </c>
      <c r="G97" s="6" t="s">
        <v>180</v>
      </c>
    </row>
    <row r="98" ht="15.75" customHeight="1">
      <c r="A98" s="1" t="s">
        <v>232</v>
      </c>
      <c r="B98" s="4"/>
      <c r="C98" s="4" t="s">
        <v>233</v>
      </c>
      <c r="D98" s="4">
        <v>9745.0</v>
      </c>
      <c r="E98" s="6" t="s">
        <v>64</v>
      </c>
      <c r="F98" s="6" t="s">
        <v>65</v>
      </c>
      <c r="G98" s="6" t="s">
        <v>53</v>
      </c>
    </row>
    <row r="99" ht="15.75" customHeight="1">
      <c r="A99" s="1" t="s">
        <v>402</v>
      </c>
      <c r="B99" s="4"/>
      <c r="C99" s="4" t="s">
        <v>403</v>
      </c>
      <c r="D99" s="4">
        <v>9203.0</v>
      </c>
      <c r="E99" s="6" t="s">
        <v>15</v>
      </c>
      <c r="F99" s="6" t="s">
        <v>142</v>
      </c>
      <c r="G99" s="6" t="s">
        <v>17</v>
      </c>
    </row>
    <row r="100" ht="15.75" customHeight="1">
      <c r="A100" s="1" t="s">
        <v>374</v>
      </c>
      <c r="B100" s="4"/>
      <c r="C100" s="4" t="s">
        <v>375</v>
      </c>
      <c r="D100" s="4">
        <v>10920.0</v>
      </c>
      <c r="E100" s="6" t="s">
        <v>15</v>
      </c>
      <c r="G100" s="6" t="s">
        <v>17</v>
      </c>
    </row>
    <row r="101" ht="15.75" customHeight="1">
      <c r="A101" s="1" t="s">
        <v>85</v>
      </c>
      <c r="B101" s="4"/>
      <c r="C101" s="4" t="s">
        <v>86</v>
      </c>
      <c r="D101" s="4">
        <v>12255.0</v>
      </c>
      <c r="E101" s="6" t="s">
        <v>51</v>
      </c>
      <c r="F101" s="6" t="s">
        <v>87</v>
      </c>
      <c r="G101" s="6" t="s">
        <v>53</v>
      </c>
    </row>
    <row r="102" ht="15.75" customHeight="1">
      <c r="A102" s="1" t="s">
        <v>439</v>
      </c>
      <c r="B102" s="4"/>
      <c r="C102" s="4" t="s">
        <v>440</v>
      </c>
      <c r="D102" s="4">
        <v>14789.0</v>
      </c>
      <c r="E102" s="6" t="s">
        <v>64</v>
      </c>
      <c r="F102" s="6" t="s">
        <v>65</v>
      </c>
      <c r="G102" s="6" t="s">
        <v>53</v>
      </c>
      <c r="H102" s="6" t="s">
        <v>150</v>
      </c>
    </row>
    <row r="103" ht="15.75" customHeight="1">
      <c r="A103" s="1" t="s">
        <v>224</v>
      </c>
      <c r="B103" s="4"/>
      <c r="C103" s="4" t="s">
        <v>225</v>
      </c>
      <c r="D103" s="4">
        <v>13530.0</v>
      </c>
      <c r="E103" s="6" t="s">
        <v>15</v>
      </c>
      <c r="F103" s="6" t="s">
        <v>142</v>
      </c>
      <c r="G103" s="6" t="s">
        <v>31</v>
      </c>
    </row>
    <row r="104" ht="15.75" customHeight="1">
      <c r="A104" s="1" t="s">
        <v>101</v>
      </c>
      <c r="B104" s="4"/>
      <c r="C104" s="4" t="s">
        <v>102</v>
      </c>
      <c r="D104" s="4">
        <v>13413.0</v>
      </c>
      <c r="E104" s="6" t="s">
        <v>64</v>
      </c>
      <c r="F104" s="6" t="s">
        <v>65</v>
      </c>
      <c r="G104" s="6" t="s">
        <v>53</v>
      </c>
    </row>
    <row r="105" ht="15.75" customHeight="1">
      <c r="A105" s="1" t="s">
        <v>215</v>
      </c>
      <c r="B105" s="4"/>
      <c r="C105" s="4" t="s">
        <v>216</v>
      </c>
      <c r="D105" s="4">
        <v>16962.0</v>
      </c>
      <c r="E105" s="6" t="s">
        <v>51</v>
      </c>
      <c r="F105" s="6" t="s">
        <v>97</v>
      </c>
      <c r="G105" s="6" t="s">
        <v>180</v>
      </c>
    </row>
    <row r="106" ht="15.75" customHeight="1">
      <c r="A106" s="1" t="s">
        <v>58</v>
      </c>
      <c r="B106" s="4"/>
      <c r="C106" s="4" t="s">
        <v>59</v>
      </c>
      <c r="D106" s="4">
        <v>12380.0</v>
      </c>
      <c r="E106" s="6" t="s">
        <v>51</v>
      </c>
      <c r="F106" s="6" t="s">
        <v>60</v>
      </c>
      <c r="G106" s="6" t="s">
        <v>53</v>
      </c>
    </row>
    <row r="107" ht="15.75" customHeight="1">
      <c r="A107" s="1" t="s">
        <v>236</v>
      </c>
      <c r="B107" s="4"/>
      <c r="C107" s="4" t="s">
        <v>237</v>
      </c>
      <c r="D107" s="4">
        <v>13620.0</v>
      </c>
      <c r="E107" s="6" t="s">
        <v>64</v>
      </c>
      <c r="F107" s="6" t="s">
        <v>65</v>
      </c>
      <c r="G107" s="6" t="s">
        <v>53</v>
      </c>
    </row>
    <row r="108" ht="15.75" customHeight="1">
      <c r="A108" s="1" t="s">
        <v>332</v>
      </c>
      <c r="B108" s="4"/>
      <c r="C108" s="4" t="s">
        <v>333</v>
      </c>
      <c r="D108" s="4">
        <v>11024.0</v>
      </c>
      <c r="E108" s="6" t="s">
        <v>15</v>
      </c>
      <c r="G108" s="6" t="s">
        <v>17</v>
      </c>
    </row>
    <row r="109" ht="15.75" customHeight="1">
      <c r="A109" s="1" t="s">
        <v>397</v>
      </c>
      <c r="B109" s="4"/>
      <c r="C109" s="4" t="s">
        <v>398</v>
      </c>
      <c r="D109" s="4">
        <v>11401.0</v>
      </c>
      <c r="E109" s="6" t="s">
        <v>64</v>
      </c>
      <c r="F109" s="6" t="s">
        <v>399</v>
      </c>
      <c r="G109" s="6" t="s">
        <v>53</v>
      </c>
    </row>
    <row r="110" ht="15.75" customHeight="1">
      <c r="A110" s="1" t="s">
        <v>227</v>
      </c>
      <c r="B110" s="4"/>
      <c r="C110" s="4" t="s">
        <v>228</v>
      </c>
      <c r="D110" s="4">
        <v>18968.0</v>
      </c>
      <c r="E110" s="6" t="s">
        <v>51</v>
      </c>
      <c r="F110" s="6" t="s">
        <v>61</v>
      </c>
      <c r="G110" s="6" t="s">
        <v>53</v>
      </c>
    </row>
    <row r="111" ht="15.75" customHeight="1">
      <c r="A111" s="1" t="s">
        <v>103</v>
      </c>
      <c r="B111" s="4"/>
      <c r="C111" s="4" t="s">
        <v>104</v>
      </c>
      <c r="D111" s="4">
        <v>11387.0</v>
      </c>
      <c r="E111" s="6" t="s">
        <v>51</v>
      </c>
      <c r="F111" s="6" t="s">
        <v>97</v>
      </c>
    </row>
    <row r="112" ht="15.75" customHeight="1">
      <c r="A112" s="1" t="s">
        <v>280</v>
      </c>
      <c r="B112" s="4"/>
      <c r="C112" s="4" t="s">
        <v>281</v>
      </c>
      <c r="D112" s="4">
        <v>19890.0</v>
      </c>
      <c r="E112" s="6" t="s">
        <v>51</v>
      </c>
      <c r="F112" s="6" t="s">
        <v>105</v>
      </c>
      <c r="G112" s="6" t="s">
        <v>150</v>
      </c>
    </row>
    <row r="113" ht="15.75" customHeight="1">
      <c r="A113" s="1" t="s">
        <v>395</v>
      </c>
      <c r="B113" s="4"/>
      <c r="C113" s="4" t="s">
        <v>396</v>
      </c>
      <c r="D113" s="4">
        <v>17490.0</v>
      </c>
      <c r="E113" s="6" t="s">
        <v>41</v>
      </c>
      <c r="F113" s="6" t="s">
        <v>159</v>
      </c>
      <c r="G113" s="6" t="s">
        <v>180</v>
      </c>
    </row>
    <row r="114" ht="15.75" customHeight="1">
      <c r="A114" s="1" t="s">
        <v>347</v>
      </c>
      <c r="B114" s="4"/>
      <c r="C114" s="4" t="s">
        <v>348</v>
      </c>
      <c r="D114" s="4">
        <v>11955.0</v>
      </c>
    </row>
    <row r="115" ht="15.75" customHeight="1">
      <c r="A115" s="1" t="s">
        <v>459</v>
      </c>
      <c r="B115" s="4"/>
      <c r="C115" s="4" t="s">
        <v>460</v>
      </c>
      <c r="D115" s="4">
        <v>7626.0</v>
      </c>
      <c r="E115" s="6" t="s">
        <v>15</v>
      </c>
      <c r="F115" s="6" t="s">
        <v>461</v>
      </c>
      <c r="G115" s="6" t="s">
        <v>17</v>
      </c>
    </row>
    <row r="116" ht="15.75" customHeight="1">
      <c r="A116" s="1" t="s">
        <v>81</v>
      </c>
      <c r="B116" s="4"/>
      <c r="C116" s="4" t="s">
        <v>82</v>
      </c>
      <c r="D116" s="4">
        <v>10383.0</v>
      </c>
      <c r="E116" s="6" t="s">
        <v>15</v>
      </c>
      <c r="F116" s="6" t="s">
        <v>83</v>
      </c>
      <c r="G116" s="6" t="s">
        <v>53</v>
      </c>
    </row>
    <row r="117" ht="15.75" customHeight="1">
      <c r="A117" s="1" t="s">
        <v>292</v>
      </c>
      <c r="B117" s="4"/>
      <c r="C117" s="4" t="s">
        <v>293</v>
      </c>
      <c r="D117" s="4">
        <v>27.0</v>
      </c>
      <c r="E117" s="6" t="s">
        <v>64</v>
      </c>
      <c r="F117" s="6" t="s">
        <v>65</v>
      </c>
      <c r="G117" s="6" t="s">
        <v>53</v>
      </c>
    </row>
    <row r="118" ht="15.75" customHeight="1">
      <c r="A118" s="1" t="s">
        <v>157</v>
      </c>
      <c r="B118" s="4"/>
      <c r="C118" s="4" t="s">
        <v>158</v>
      </c>
      <c r="D118" s="4">
        <v>17216.0</v>
      </c>
      <c r="E118" s="6" t="s">
        <v>41</v>
      </c>
      <c r="F118" s="6" t="s">
        <v>159</v>
      </c>
      <c r="G118" s="6" t="s">
        <v>53</v>
      </c>
    </row>
    <row r="119" ht="15.75" customHeight="1">
      <c r="A119" s="1" t="s">
        <v>249</v>
      </c>
      <c r="B119" s="4"/>
      <c r="C119" s="4" t="s">
        <v>250</v>
      </c>
      <c r="D119" s="4">
        <v>12947.0</v>
      </c>
      <c r="E119" s="6" t="s">
        <v>64</v>
      </c>
      <c r="F119" s="6" t="s">
        <v>65</v>
      </c>
      <c r="G119" s="6" t="s">
        <v>53</v>
      </c>
    </row>
    <row r="120" ht="15.75" customHeight="1">
      <c r="A120" s="1" t="s">
        <v>453</v>
      </c>
      <c r="B120" s="4"/>
      <c r="C120" s="4" t="s">
        <v>454</v>
      </c>
      <c r="D120" s="4">
        <v>14464.0</v>
      </c>
      <c r="E120" s="6" t="s">
        <v>51</v>
      </c>
      <c r="F120" s="6" t="s">
        <v>97</v>
      </c>
      <c r="G120" s="6" t="s">
        <v>98</v>
      </c>
    </row>
    <row r="121" ht="15.75" customHeight="1">
      <c r="A121" s="1" t="s">
        <v>29</v>
      </c>
      <c r="B121" s="4"/>
      <c r="C121" s="4" t="s">
        <v>30</v>
      </c>
      <c r="D121" s="4">
        <v>15369.0</v>
      </c>
      <c r="E121" s="6" t="s">
        <v>15</v>
      </c>
      <c r="F121" s="6" t="s">
        <v>16</v>
      </c>
      <c r="G121" s="6" t="s">
        <v>31</v>
      </c>
    </row>
    <row r="122" ht="15.75" customHeight="1">
      <c r="A122" s="1" t="s">
        <v>277</v>
      </c>
      <c r="B122" s="4"/>
      <c r="C122" s="4" t="s">
        <v>278</v>
      </c>
      <c r="D122" s="4">
        <v>17514.0</v>
      </c>
      <c r="E122" s="6" t="s">
        <v>51</v>
      </c>
      <c r="F122" s="6" t="s">
        <v>97</v>
      </c>
      <c r="G122" s="6" t="s">
        <v>98</v>
      </c>
    </row>
    <row r="123" ht="15.75" customHeight="1">
      <c r="A123" s="1" t="s">
        <v>208</v>
      </c>
      <c r="B123" s="4"/>
      <c r="C123" s="4" t="s">
        <v>209</v>
      </c>
      <c r="D123" s="4">
        <v>18268.0</v>
      </c>
      <c r="E123" s="6" t="s">
        <v>51</v>
      </c>
      <c r="F123" s="6" t="s">
        <v>105</v>
      </c>
      <c r="G123" s="6" t="s">
        <v>180</v>
      </c>
    </row>
    <row r="124" ht="15.75" customHeight="1">
      <c r="A124" s="1" t="s">
        <v>38</v>
      </c>
      <c r="B124" s="4"/>
      <c r="C124" s="4" t="s">
        <v>39</v>
      </c>
      <c r="D124" s="4">
        <v>15797.0</v>
      </c>
      <c r="E124" s="6" t="s">
        <v>15</v>
      </c>
      <c r="F124" s="6" t="s">
        <v>40</v>
      </c>
      <c r="G124" s="6" t="s">
        <v>31</v>
      </c>
    </row>
    <row r="125" ht="15.75" customHeight="1">
      <c r="A125" s="1" t="s">
        <v>286</v>
      </c>
      <c r="B125" s="4"/>
      <c r="C125" s="4" t="s">
        <v>287</v>
      </c>
      <c r="D125" s="4">
        <v>15446.0</v>
      </c>
      <c r="E125" s="6" t="s">
        <v>51</v>
      </c>
      <c r="F125" s="6" t="s">
        <v>288</v>
      </c>
    </row>
    <row r="126" ht="15.75" customHeight="1">
      <c r="A126" s="1" t="s">
        <v>151</v>
      </c>
      <c r="B126" s="4"/>
      <c r="C126" s="4" t="s">
        <v>152</v>
      </c>
      <c r="D126" s="4">
        <v>381.0</v>
      </c>
      <c r="E126" s="6" t="s">
        <v>64</v>
      </c>
      <c r="F126" s="6" t="s">
        <v>65</v>
      </c>
      <c r="G126" s="6" t="s">
        <v>53</v>
      </c>
    </row>
    <row r="127" ht="15.75" customHeight="1">
      <c r="A127" s="52" t="s">
        <v>405</v>
      </c>
      <c r="B127" s="53"/>
      <c r="C127" s="53" t="s">
        <v>152</v>
      </c>
      <c r="D127" s="53">
        <v>256.0</v>
      </c>
      <c r="E127" s="54" t="s">
        <v>64</v>
      </c>
      <c r="F127" s="54" t="s">
        <v>65</v>
      </c>
      <c r="G127" s="54" t="s">
        <v>53</v>
      </c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 ht="15.75" customHeight="1">
      <c r="A128" s="1" t="s">
        <v>463</v>
      </c>
      <c r="B128" s="51" t="s">
        <v>464</v>
      </c>
      <c r="C128" s="4" t="s">
        <v>465</v>
      </c>
      <c r="D128" s="4">
        <v>11722.0</v>
      </c>
    </row>
    <row r="129" ht="15.75" customHeight="1">
      <c r="A129" s="1" t="s">
        <v>294</v>
      </c>
      <c r="B129" s="4"/>
      <c r="C129" s="4" t="s">
        <v>295</v>
      </c>
      <c r="D129" s="4">
        <v>110623.0</v>
      </c>
      <c r="E129" s="6" t="s">
        <v>51</v>
      </c>
      <c r="F129" s="6" t="s">
        <v>74</v>
      </c>
      <c r="G129" s="6" t="s">
        <v>53</v>
      </c>
    </row>
    <row r="130" ht="15.75" customHeight="1">
      <c r="A130" s="1" t="s">
        <v>194</v>
      </c>
      <c r="B130" s="4"/>
      <c r="C130" s="4" t="s">
        <v>195</v>
      </c>
      <c r="D130" s="4">
        <v>13626.0</v>
      </c>
      <c r="E130" s="6" t="s">
        <v>51</v>
      </c>
      <c r="F130" s="6" t="s">
        <v>196</v>
      </c>
    </row>
    <row r="131" ht="15.75" customHeight="1">
      <c r="A131" s="1" t="s">
        <v>251</v>
      </c>
      <c r="B131" s="4"/>
      <c r="C131" s="4" t="s">
        <v>252</v>
      </c>
      <c r="D131" s="4">
        <v>13403.0</v>
      </c>
      <c r="E131" s="6" t="s">
        <v>64</v>
      </c>
      <c r="F131" s="6" t="s">
        <v>65</v>
      </c>
      <c r="G131" s="6" t="s">
        <v>53</v>
      </c>
    </row>
    <row r="132" ht="15.75" customHeight="1">
      <c r="A132" s="1" t="s">
        <v>185</v>
      </c>
      <c r="B132" s="4"/>
      <c r="C132" s="4" t="s">
        <v>186</v>
      </c>
      <c r="D132" s="4">
        <v>18890.0</v>
      </c>
      <c r="E132" s="6" t="s">
        <v>51</v>
      </c>
      <c r="F132" s="6" t="s">
        <v>187</v>
      </c>
      <c r="G132" s="6" t="s">
        <v>53</v>
      </c>
    </row>
    <row r="133" ht="15.75" customHeight="1">
      <c r="A133" s="1" t="s">
        <v>377</v>
      </c>
      <c r="B133" s="4"/>
      <c r="C133" s="4" t="s">
        <v>378</v>
      </c>
      <c r="D133" s="4">
        <v>11661.0</v>
      </c>
      <c r="E133" s="6" t="s">
        <v>51</v>
      </c>
      <c r="F133" s="6" t="s">
        <v>97</v>
      </c>
      <c r="G133" s="6" t="s">
        <v>98</v>
      </c>
    </row>
    <row r="134" ht="15.75" customHeight="1">
      <c r="A134" s="1" t="s">
        <v>116</v>
      </c>
      <c r="B134" s="4"/>
      <c r="C134" s="4" t="s">
        <v>117</v>
      </c>
      <c r="D134" s="4">
        <v>12293.0</v>
      </c>
      <c r="E134" s="6" t="s">
        <v>51</v>
      </c>
      <c r="F134" s="6" t="s">
        <v>74</v>
      </c>
      <c r="G134" s="6" t="s">
        <v>53</v>
      </c>
    </row>
    <row r="135" ht="15.75" customHeight="1">
      <c r="A135" s="1" t="s">
        <v>120</v>
      </c>
      <c r="B135" s="4"/>
      <c r="C135" s="4" t="s">
        <v>121</v>
      </c>
      <c r="D135" s="4">
        <v>26794.0</v>
      </c>
      <c r="E135" s="6" t="s">
        <v>51</v>
      </c>
      <c r="F135" s="6" t="s">
        <v>74</v>
      </c>
      <c r="G135" s="6" t="s">
        <v>53</v>
      </c>
    </row>
    <row r="136" ht="15.75" customHeight="1">
      <c r="A136" s="1" t="s">
        <v>129</v>
      </c>
      <c r="B136" s="4"/>
      <c r="C136" s="4" t="s">
        <v>130</v>
      </c>
      <c r="D136" s="4">
        <v>28063.0</v>
      </c>
      <c r="E136" s="6" t="s">
        <v>15</v>
      </c>
      <c r="F136" s="6" t="s">
        <v>22</v>
      </c>
      <c r="G136" s="6" t="s">
        <v>17</v>
      </c>
    </row>
    <row r="137" ht="15.75" customHeight="1">
      <c r="A137" s="1" t="s">
        <v>113</v>
      </c>
      <c r="B137" s="4"/>
      <c r="C137" s="4" t="s">
        <v>114</v>
      </c>
      <c r="D137" s="4">
        <v>12905.0</v>
      </c>
      <c r="E137" s="6" t="s">
        <v>51</v>
      </c>
      <c r="F137" s="6" t="s">
        <v>97</v>
      </c>
      <c r="G137" s="6" t="s">
        <v>98</v>
      </c>
    </row>
    <row r="138" ht="15.75" customHeight="1">
      <c r="A138" s="1" t="s">
        <v>213</v>
      </c>
      <c r="B138" s="4"/>
      <c r="C138" s="4" t="s">
        <v>214</v>
      </c>
      <c r="D138" s="4">
        <v>18177.0</v>
      </c>
      <c r="E138" s="6" t="s">
        <v>64</v>
      </c>
      <c r="G138" s="6" t="s">
        <v>180</v>
      </c>
    </row>
    <row r="139" ht="15.75" customHeight="1">
      <c r="A139" s="1" t="s">
        <v>358</v>
      </c>
      <c r="B139" s="4"/>
      <c r="C139" s="4" t="s">
        <v>359</v>
      </c>
      <c r="D139" s="4">
        <v>16071.0</v>
      </c>
      <c r="E139" s="6" t="s">
        <v>64</v>
      </c>
      <c r="F139" s="6" t="s">
        <v>65</v>
      </c>
      <c r="G139" s="6" t="s">
        <v>53</v>
      </c>
    </row>
    <row r="140" ht="15.75" customHeight="1">
      <c r="A140" s="33" t="s">
        <v>505</v>
      </c>
      <c r="B140" s="55"/>
      <c r="C140" s="56" t="s">
        <v>506</v>
      </c>
      <c r="D140" s="4"/>
    </row>
    <row r="141" ht="15.75" customHeight="1">
      <c r="A141" s="1" t="s">
        <v>247</v>
      </c>
      <c r="B141" s="4"/>
      <c r="C141" s="4" t="s">
        <v>248</v>
      </c>
      <c r="D141" s="4">
        <v>22670.0</v>
      </c>
      <c r="E141" s="6" t="s">
        <v>64</v>
      </c>
      <c r="F141" s="6" t="s">
        <v>65</v>
      </c>
      <c r="G141" s="6" t="s">
        <v>53</v>
      </c>
    </row>
    <row r="142" ht="15.75" customHeight="1">
      <c r="A142" s="1" t="s">
        <v>296</v>
      </c>
      <c r="B142" s="4"/>
      <c r="C142" s="4" t="s">
        <v>297</v>
      </c>
      <c r="D142" s="4">
        <v>19895.0</v>
      </c>
    </row>
    <row r="143" ht="15.75" customHeight="1">
      <c r="A143" s="1" t="s">
        <v>255</v>
      </c>
      <c r="B143" s="4"/>
      <c r="C143" s="4" t="s">
        <v>256</v>
      </c>
      <c r="D143" s="4">
        <v>19312.0</v>
      </c>
      <c r="E143" s="6" t="s">
        <v>64</v>
      </c>
      <c r="F143" s="6" t="s">
        <v>257</v>
      </c>
      <c r="G143" s="6" t="s">
        <v>53</v>
      </c>
    </row>
    <row r="144" ht="15.75" customHeight="1">
      <c r="A144" s="1" t="s">
        <v>275</v>
      </c>
      <c r="B144" s="4"/>
      <c r="C144" s="4" t="s">
        <v>276</v>
      </c>
      <c r="D144" s="4">
        <v>22534.0</v>
      </c>
      <c r="E144" s="6" t="s">
        <v>41</v>
      </c>
      <c r="F144" s="6" t="s">
        <v>159</v>
      </c>
      <c r="G144" s="6" t="s">
        <v>31</v>
      </c>
    </row>
    <row r="145" ht="15.75" customHeight="1">
      <c r="A145" s="52" t="s">
        <v>380</v>
      </c>
      <c r="B145" s="53"/>
      <c r="C145" s="53" t="s">
        <v>381</v>
      </c>
      <c r="D145" s="53">
        <v>31776.0</v>
      </c>
      <c r="E145" s="54" t="s">
        <v>51</v>
      </c>
      <c r="F145" s="54" t="s">
        <v>288</v>
      </c>
      <c r="G145" s="54" t="s">
        <v>98</v>
      </c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 ht="15.75" customHeight="1">
      <c r="A146" s="52" t="s">
        <v>382</v>
      </c>
      <c r="B146" s="53"/>
      <c r="C146" s="53" t="s">
        <v>381</v>
      </c>
      <c r="D146" s="53">
        <v>111.0</v>
      </c>
      <c r="E146" s="54" t="s">
        <v>51</v>
      </c>
      <c r="F146" s="54" t="s">
        <v>97</v>
      </c>
      <c r="G146" s="54" t="s">
        <v>98</v>
      </c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ht="15.75" customHeight="1">
      <c r="A147" s="1" t="s">
        <v>89</v>
      </c>
      <c r="B147" s="4"/>
      <c r="C147" s="4" t="s">
        <v>90</v>
      </c>
      <c r="D147" s="4">
        <v>17404.0</v>
      </c>
      <c r="E147" s="6" t="s">
        <v>51</v>
      </c>
      <c r="F147" s="6" t="s">
        <v>87</v>
      </c>
      <c r="G147" s="6" t="s">
        <v>53</v>
      </c>
    </row>
    <row r="148" ht="15.75" customHeight="1">
      <c r="A148" s="1" t="s">
        <v>313</v>
      </c>
      <c r="B148" s="4"/>
      <c r="C148" s="4" t="s">
        <v>314</v>
      </c>
      <c r="D148" s="4">
        <v>62886.0</v>
      </c>
      <c r="E148" s="6" t="s">
        <v>51</v>
      </c>
      <c r="F148" s="6" t="s">
        <v>97</v>
      </c>
      <c r="G148" s="6" t="s">
        <v>180</v>
      </c>
    </row>
    <row r="149" ht="15.75" customHeight="1">
      <c r="A149" s="1" t="s">
        <v>581</v>
      </c>
      <c r="B149" s="4"/>
      <c r="C149" s="4" t="s">
        <v>92</v>
      </c>
      <c r="D149" s="4">
        <v>867.0</v>
      </c>
      <c r="E149" s="6" t="s">
        <v>51</v>
      </c>
      <c r="F149" s="6" t="s">
        <v>87</v>
      </c>
      <c r="G149" s="6" t="s">
        <v>53</v>
      </c>
    </row>
    <row r="150" ht="15.75" customHeight="1">
      <c r="A150" s="52" t="s">
        <v>305</v>
      </c>
      <c r="B150" s="53"/>
      <c r="C150" s="53" t="s">
        <v>306</v>
      </c>
      <c r="D150" s="53">
        <v>384.0</v>
      </c>
      <c r="E150" s="54" t="s">
        <v>15</v>
      </c>
      <c r="F150" s="54" t="s">
        <v>142</v>
      </c>
      <c r="G150" s="54" t="s">
        <v>31</v>
      </c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 ht="15.75" customHeight="1">
      <c r="A151" s="1" t="s">
        <v>309</v>
      </c>
      <c r="B151" s="4"/>
      <c r="C151" s="4" t="s">
        <v>310</v>
      </c>
      <c r="D151" s="4">
        <v>21468.0</v>
      </c>
      <c r="E151" s="6" t="s">
        <v>15</v>
      </c>
      <c r="F151" s="6" t="s">
        <v>142</v>
      </c>
      <c r="G151" s="6" t="s">
        <v>31</v>
      </c>
    </row>
    <row r="152" ht="15.75" customHeight="1">
      <c r="A152" s="1" t="s">
        <v>315</v>
      </c>
      <c r="B152" s="4"/>
      <c r="C152" s="4" t="s">
        <v>316</v>
      </c>
      <c r="D152" s="4">
        <v>11132.0</v>
      </c>
      <c r="E152" s="6" t="s">
        <v>64</v>
      </c>
      <c r="F152" s="8" t="s">
        <v>582</v>
      </c>
      <c r="G152" s="8" t="s">
        <v>583</v>
      </c>
    </row>
    <row r="153" ht="15.75" customHeight="1">
      <c r="A153" s="1" t="s">
        <v>189</v>
      </c>
      <c r="B153" s="4"/>
      <c r="C153" s="4" t="s">
        <v>190</v>
      </c>
      <c r="D153" s="4">
        <v>31647.0</v>
      </c>
      <c r="E153" s="6" t="s">
        <v>51</v>
      </c>
      <c r="F153" s="6" t="s">
        <v>191</v>
      </c>
    </row>
    <row r="154" ht="15.75" customHeight="1">
      <c r="A154" s="1" t="s">
        <v>450</v>
      </c>
      <c r="B154" s="4"/>
      <c r="C154" s="4" t="s">
        <v>451</v>
      </c>
      <c r="D154" s="4">
        <v>16363.0</v>
      </c>
      <c r="E154" s="6" t="s">
        <v>51</v>
      </c>
      <c r="G154" s="6" t="s">
        <v>98</v>
      </c>
    </row>
    <row r="155" ht="15.75" customHeight="1">
      <c r="A155" s="1" t="s">
        <v>325</v>
      </c>
      <c r="B155" s="4"/>
      <c r="C155" s="4" t="s">
        <v>326</v>
      </c>
      <c r="D155" s="4">
        <v>24497.0</v>
      </c>
      <c r="E155" s="6" t="s">
        <v>41</v>
      </c>
      <c r="F155" s="6" t="s">
        <v>159</v>
      </c>
      <c r="G155" s="6" t="s">
        <v>180</v>
      </c>
    </row>
    <row r="156" ht="15.75" customHeight="1">
      <c r="A156" s="1" t="s">
        <v>229</v>
      </c>
      <c r="B156" s="4"/>
      <c r="C156" s="4" t="s">
        <v>230</v>
      </c>
      <c r="D156" s="4">
        <v>23693.0</v>
      </c>
      <c r="E156" s="6" t="s">
        <v>15</v>
      </c>
      <c r="F156" s="6" t="s">
        <v>142</v>
      </c>
      <c r="G156" s="6" t="s">
        <v>31</v>
      </c>
    </row>
    <row r="157" ht="15.75" customHeight="1">
      <c r="A157" s="1" t="s">
        <v>72</v>
      </c>
      <c r="B157" s="4"/>
      <c r="C157" s="4" t="s">
        <v>73</v>
      </c>
      <c r="D157" s="4">
        <v>30303.0</v>
      </c>
      <c r="E157" s="6" t="s">
        <v>51</v>
      </c>
      <c r="F157" s="6" t="s">
        <v>74</v>
      </c>
      <c r="G157" s="6" t="s">
        <v>53</v>
      </c>
    </row>
    <row r="158" ht="15.75" customHeight="1">
      <c r="A158" s="1" t="s">
        <v>339</v>
      </c>
      <c r="B158" s="4"/>
      <c r="C158" s="4" t="s">
        <v>340</v>
      </c>
      <c r="D158" s="4">
        <v>34726.0</v>
      </c>
      <c r="E158" s="6" t="s">
        <v>64</v>
      </c>
    </row>
    <row r="159" ht="15.75" customHeight="1">
      <c r="A159" s="1" t="s">
        <v>122</v>
      </c>
      <c r="B159" s="4"/>
      <c r="C159" s="4" t="s">
        <v>123</v>
      </c>
      <c r="D159" s="4">
        <v>36870.0</v>
      </c>
      <c r="E159" s="6" t="s">
        <v>64</v>
      </c>
      <c r="F159" s="6" t="s">
        <v>65</v>
      </c>
      <c r="G159" s="6" t="s">
        <v>53</v>
      </c>
    </row>
    <row r="160" ht="15.75" customHeight="1">
      <c r="A160" s="1" t="s">
        <v>204</v>
      </c>
      <c r="B160" s="4"/>
      <c r="C160" s="4" t="s">
        <v>205</v>
      </c>
      <c r="D160" s="4">
        <v>57074.0</v>
      </c>
      <c r="E160" s="6" t="s">
        <v>15</v>
      </c>
      <c r="F160" s="6" t="s">
        <v>142</v>
      </c>
      <c r="G160" s="8" t="s">
        <v>31</v>
      </c>
    </row>
    <row r="161" ht="15.75" customHeight="1">
      <c r="A161" s="52" t="s">
        <v>206</v>
      </c>
      <c r="B161" s="53"/>
      <c r="C161" s="53" t="s">
        <v>207</v>
      </c>
      <c r="D161" s="53">
        <v>1208.0</v>
      </c>
      <c r="E161" s="54" t="s">
        <v>15</v>
      </c>
      <c r="F161" s="54" t="s">
        <v>142</v>
      </c>
      <c r="G161" s="57" t="s">
        <v>31</v>
      </c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 ht="15.75" customHeight="1">
      <c r="A162" s="52" t="s">
        <v>201</v>
      </c>
      <c r="B162" s="53"/>
      <c r="C162" s="53" t="s">
        <v>202</v>
      </c>
      <c r="D162" s="53">
        <v>1405.0</v>
      </c>
      <c r="E162" s="54" t="s">
        <v>15</v>
      </c>
      <c r="F162" s="54" t="s">
        <v>142</v>
      </c>
      <c r="G162" s="57" t="s">
        <v>31</v>
      </c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 ht="15.75" customHeight="1">
      <c r="A163" s="1" t="s">
        <v>111</v>
      </c>
      <c r="B163" s="4"/>
      <c r="C163" s="4" t="s">
        <v>112</v>
      </c>
      <c r="D163" s="4">
        <v>145822.0</v>
      </c>
      <c r="E163" s="6" t="s">
        <v>51</v>
      </c>
      <c r="F163" s="6" t="s">
        <v>97</v>
      </c>
      <c r="G163" s="6" t="s">
        <v>98</v>
      </c>
    </row>
    <row r="164" ht="15.75" customHeight="1">
      <c r="A164" s="1" t="s">
        <v>198</v>
      </c>
      <c r="B164" s="4"/>
      <c r="C164" s="4" t="s">
        <v>199</v>
      </c>
      <c r="D164" s="4">
        <v>170576.0</v>
      </c>
      <c r="E164" s="6" t="s">
        <v>51</v>
      </c>
      <c r="F164" s="6" t="s">
        <v>196</v>
      </c>
    </row>
    <row r="165" ht="15.75" customHeight="1">
      <c r="A165" s="1" t="s">
        <v>176</v>
      </c>
      <c r="B165" s="4"/>
      <c r="C165" s="4" t="s">
        <v>177</v>
      </c>
      <c r="D165" s="4">
        <v>88730.0</v>
      </c>
      <c r="E165" s="6" t="s">
        <v>51</v>
      </c>
      <c r="F165" s="6" t="s">
        <v>105</v>
      </c>
      <c r="G165" s="6" t="s">
        <v>53</v>
      </c>
    </row>
    <row r="166" ht="15.75" customHeight="1">
      <c r="A166" s="52" t="s">
        <v>427</v>
      </c>
      <c r="B166" s="53"/>
      <c r="C166" s="53" t="s">
        <v>428</v>
      </c>
      <c r="D166" s="53">
        <v>204.0</v>
      </c>
      <c r="E166" s="54" t="s">
        <v>41</v>
      </c>
      <c r="F166" s="54" t="s">
        <v>159</v>
      </c>
      <c r="G166" s="54" t="s">
        <v>180</v>
      </c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 ht="15.75" customHeight="1">
      <c r="A167" s="1" t="s">
        <v>353</v>
      </c>
      <c r="B167" s="4"/>
      <c r="C167" s="4" t="s">
        <v>354</v>
      </c>
      <c r="D167" s="4">
        <v>25647.0</v>
      </c>
      <c r="E167" s="6" t="s">
        <v>51</v>
      </c>
      <c r="F167" s="6" t="s">
        <v>105</v>
      </c>
      <c r="G167" s="6" t="s">
        <v>53</v>
      </c>
    </row>
    <row r="168" ht="15.75" customHeight="1">
      <c r="A168" s="1" t="s">
        <v>424</v>
      </c>
      <c r="B168" s="4"/>
      <c r="C168" s="4" t="s">
        <v>425</v>
      </c>
      <c r="D168" s="4">
        <v>16012.0</v>
      </c>
      <c r="E168" s="6" t="s">
        <v>41</v>
      </c>
      <c r="F168" s="6" t="s">
        <v>159</v>
      </c>
      <c r="G168" s="6" t="s">
        <v>180</v>
      </c>
    </row>
    <row r="169" ht="15.75" customHeight="1">
      <c r="A169" s="1" t="s">
        <v>268</v>
      </c>
      <c r="B169" s="4"/>
      <c r="C169" s="4" t="s">
        <v>269</v>
      </c>
      <c r="D169" s="4">
        <v>50298.0</v>
      </c>
      <c r="E169" s="6" t="s">
        <v>64</v>
      </c>
      <c r="F169" s="6" t="s">
        <v>65</v>
      </c>
      <c r="G169" s="6" t="s">
        <v>53</v>
      </c>
    </row>
    <row r="170" ht="15.75" customHeight="1">
      <c r="A170" s="1" t="s">
        <v>258</v>
      </c>
      <c r="B170" s="4"/>
      <c r="C170" s="4" t="s">
        <v>259</v>
      </c>
      <c r="D170" s="4">
        <v>54455.0</v>
      </c>
      <c r="E170" s="6" t="s">
        <v>64</v>
      </c>
      <c r="F170" s="6" t="s">
        <v>257</v>
      </c>
      <c r="G170" s="6" t="s">
        <v>53</v>
      </c>
    </row>
    <row r="171" ht="15.75" customHeight="1">
      <c r="A171" s="1" t="s">
        <v>153</v>
      </c>
      <c r="B171" s="4"/>
      <c r="C171" s="4" t="s">
        <v>154</v>
      </c>
      <c r="D171" s="4">
        <v>59956.0</v>
      </c>
      <c r="E171" s="6" t="s">
        <v>64</v>
      </c>
      <c r="F171" s="6" t="s">
        <v>65</v>
      </c>
      <c r="G171" s="6" t="s">
        <v>53</v>
      </c>
      <c r="H171" s="6" t="s">
        <v>155</v>
      </c>
    </row>
    <row r="172" ht="15.75" customHeight="1">
      <c r="A172" s="52" t="s">
        <v>435</v>
      </c>
      <c r="B172" s="53"/>
      <c r="C172" s="53" t="s">
        <v>436</v>
      </c>
      <c r="D172" s="53">
        <v>53444.0</v>
      </c>
      <c r="E172" s="54" t="s">
        <v>64</v>
      </c>
      <c r="F172" s="54" t="s">
        <v>65</v>
      </c>
      <c r="G172" s="54" t="s">
        <v>53</v>
      </c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 ht="15.75" customHeight="1">
      <c r="A173" s="1" t="s">
        <v>466</v>
      </c>
      <c r="B173" s="51" t="s">
        <v>467</v>
      </c>
      <c r="C173" s="4" t="s">
        <v>468</v>
      </c>
      <c r="D173" s="4">
        <v>24319.0</v>
      </c>
    </row>
    <row r="174" ht="15.75" customHeight="1">
      <c r="A174" s="1" t="s">
        <v>136</v>
      </c>
      <c r="B174" s="4"/>
      <c r="C174" s="4" t="s">
        <v>137</v>
      </c>
      <c r="D174" s="4">
        <v>57362.0</v>
      </c>
      <c r="E174" s="6" t="s">
        <v>51</v>
      </c>
      <c r="F174" s="6" t="s">
        <v>97</v>
      </c>
      <c r="G174" s="6" t="s">
        <v>98</v>
      </c>
    </row>
    <row r="175" ht="15.75" customHeight="1">
      <c r="A175" s="1" t="s">
        <v>300</v>
      </c>
      <c r="B175" s="4"/>
      <c r="C175" s="4" t="s">
        <v>301</v>
      </c>
      <c r="D175" s="4">
        <v>35091.0</v>
      </c>
      <c r="E175" s="6" t="s">
        <v>15</v>
      </c>
      <c r="F175" s="6" t="s">
        <v>142</v>
      </c>
      <c r="G175" s="6" t="s">
        <v>17</v>
      </c>
    </row>
    <row r="176" ht="15.75" customHeight="1">
      <c r="A176" s="52" t="s">
        <v>140</v>
      </c>
      <c r="B176" s="53"/>
      <c r="C176" s="53" t="s">
        <v>141</v>
      </c>
      <c r="D176" s="53">
        <v>810.0</v>
      </c>
      <c r="E176" s="54" t="s">
        <v>15</v>
      </c>
      <c r="F176" s="54" t="s">
        <v>142</v>
      </c>
      <c r="G176" s="54" t="s">
        <v>31</v>
      </c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 ht="15.75" customHeight="1">
      <c r="A177" s="1" t="s">
        <v>351</v>
      </c>
      <c r="B177" s="4"/>
      <c r="C177" s="4" t="s">
        <v>352</v>
      </c>
      <c r="D177" s="4">
        <v>29241.0</v>
      </c>
      <c r="E177" s="6" t="s">
        <v>15</v>
      </c>
      <c r="F177" s="6" t="s">
        <v>142</v>
      </c>
      <c r="G177" s="6" t="s">
        <v>31</v>
      </c>
    </row>
    <row r="178" ht="15.75" customHeight="1">
      <c r="A178" s="52" t="s">
        <v>107</v>
      </c>
      <c r="B178" s="53"/>
      <c r="C178" s="53" t="s">
        <v>108</v>
      </c>
      <c r="D178" s="53">
        <v>26525.0</v>
      </c>
      <c r="E178" s="54" t="s">
        <v>15</v>
      </c>
      <c r="F178" s="54" t="s">
        <v>109</v>
      </c>
      <c r="G178" s="54" t="s">
        <v>31</v>
      </c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 ht="15.75" customHeight="1">
      <c r="A179" s="1" t="s">
        <v>69</v>
      </c>
      <c r="B179" s="4"/>
      <c r="C179" s="4" t="s">
        <v>70</v>
      </c>
      <c r="D179" s="4">
        <v>25784.0</v>
      </c>
      <c r="E179" s="6" t="s">
        <v>15</v>
      </c>
      <c r="F179" s="6" t="s">
        <v>36</v>
      </c>
      <c r="G179" s="6" t="s">
        <v>31</v>
      </c>
    </row>
    <row r="180" ht="15.75" customHeight="1">
      <c r="A180" s="1" t="s">
        <v>34</v>
      </c>
      <c r="B180" s="4"/>
      <c r="C180" s="4" t="s">
        <v>35</v>
      </c>
      <c r="D180" s="4">
        <v>35133.0</v>
      </c>
      <c r="E180" s="6" t="s">
        <v>15</v>
      </c>
      <c r="F180" s="6" t="s">
        <v>36</v>
      </c>
      <c r="G180" s="6" t="s">
        <v>31</v>
      </c>
    </row>
    <row r="181" ht="15.75" customHeight="1">
      <c r="A181" s="52" t="s">
        <v>13</v>
      </c>
      <c r="B181" s="53"/>
      <c r="C181" s="53" t="s">
        <v>14</v>
      </c>
      <c r="D181" s="53">
        <v>27985.0</v>
      </c>
      <c r="E181" s="54" t="s">
        <v>15</v>
      </c>
      <c r="F181" s="58" t="s">
        <v>16</v>
      </c>
      <c r="G181" s="54" t="s">
        <v>17</v>
      </c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 ht="15.75" customHeight="1">
      <c r="A182" s="1" t="s">
        <v>343</v>
      </c>
      <c r="B182" s="4"/>
      <c r="C182" s="4" t="s">
        <v>344</v>
      </c>
      <c r="D182" s="4">
        <v>28914.0</v>
      </c>
      <c r="E182" s="6" t="s">
        <v>51</v>
      </c>
      <c r="F182" s="6" t="s">
        <v>105</v>
      </c>
      <c r="G182" s="6" t="s">
        <v>53</v>
      </c>
    </row>
    <row r="183" ht="15.75" customHeight="1">
      <c r="A183" s="1" t="s">
        <v>178</v>
      </c>
      <c r="B183" s="4"/>
      <c r="C183" s="4" t="s">
        <v>179</v>
      </c>
      <c r="D183" s="4">
        <v>23604.0</v>
      </c>
      <c r="E183" s="6" t="s">
        <v>51</v>
      </c>
      <c r="F183" s="6" t="s">
        <v>105</v>
      </c>
      <c r="G183" s="6" t="s">
        <v>180</v>
      </c>
    </row>
    <row r="184" ht="15.75" customHeight="1">
      <c r="A184" s="1" t="s">
        <v>220</v>
      </c>
      <c r="B184" s="4"/>
      <c r="C184" s="4" t="s">
        <v>221</v>
      </c>
      <c r="D184" s="4">
        <v>23824.0</v>
      </c>
    </row>
    <row r="185" ht="15.75" customHeight="1">
      <c r="A185" s="1" t="s">
        <v>283</v>
      </c>
      <c r="B185" s="4"/>
      <c r="C185" s="4" t="s">
        <v>284</v>
      </c>
      <c r="D185" s="4">
        <v>32914.0</v>
      </c>
      <c r="E185" s="6" t="s">
        <v>51</v>
      </c>
      <c r="F185" s="6" t="s">
        <v>105</v>
      </c>
      <c r="G185" s="6" t="s">
        <v>31</v>
      </c>
    </row>
    <row r="186" ht="15.75" customHeight="1">
      <c r="A186" s="1" t="s">
        <v>329</v>
      </c>
      <c r="B186" s="4"/>
      <c r="C186" s="4" t="s">
        <v>330</v>
      </c>
      <c r="D186" s="4">
        <v>31312.0</v>
      </c>
      <c r="E186" s="6" t="s">
        <v>41</v>
      </c>
      <c r="F186" s="6" t="s">
        <v>159</v>
      </c>
      <c r="G186" s="6" t="s">
        <v>180</v>
      </c>
    </row>
    <row r="187" ht="15.75" customHeight="1">
      <c r="A187" s="1" t="s">
        <v>318</v>
      </c>
      <c r="B187" s="4"/>
      <c r="C187" s="4" t="s">
        <v>319</v>
      </c>
      <c r="D187" s="4">
        <v>30725.0</v>
      </c>
      <c r="E187" s="6" t="s">
        <v>41</v>
      </c>
      <c r="F187" s="6" t="s">
        <v>159</v>
      </c>
      <c r="G187" s="6" t="s">
        <v>180</v>
      </c>
    </row>
    <row r="188" ht="15.75" customHeight="1">
      <c r="A188" s="1" t="s">
        <v>132</v>
      </c>
      <c r="B188" s="4"/>
      <c r="C188" s="4" t="s">
        <v>133</v>
      </c>
      <c r="D188" s="4">
        <v>33756.0</v>
      </c>
      <c r="E188" s="6" t="s">
        <v>51</v>
      </c>
      <c r="F188" s="6" t="s">
        <v>134</v>
      </c>
      <c r="G188" s="6" t="s">
        <v>53</v>
      </c>
    </row>
    <row r="189" ht="15.75" customHeight="1">
      <c r="A189" s="1" t="s">
        <v>125</v>
      </c>
      <c r="B189" s="4"/>
      <c r="C189" s="4" t="s">
        <v>126</v>
      </c>
      <c r="D189" s="4">
        <v>40055.0</v>
      </c>
      <c r="E189" s="6" t="s">
        <v>51</v>
      </c>
      <c r="F189" s="6" t="s">
        <v>97</v>
      </c>
    </row>
    <row r="190" ht="15.75" customHeight="1">
      <c r="A190" s="1" t="s">
        <v>144</v>
      </c>
      <c r="B190" s="4"/>
      <c r="C190" s="4" t="s">
        <v>145</v>
      </c>
      <c r="D190" s="4">
        <v>42522.0</v>
      </c>
      <c r="E190" s="6" t="s">
        <v>64</v>
      </c>
      <c r="F190" s="6" t="s">
        <v>65</v>
      </c>
      <c r="G190" s="6" t="s">
        <v>53</v>
      </c>
    </row>
    <row r="191" ht="15.75" customHeight="1">
      <c r="A191" s="1" t="s">
        <v>469</v>
      </c>
      <c r="B191" s="51" t="s">
        <v>470</v>
      </c>
      <c r="C191" s="4" t="s">
        <v>471</v>
      </c>
      <c r="D191" s="4">
        <v>44795.0</v>
      </c>
    </row>
    <row r="192" ht="15.75" customHeight="1">
      <c r="A192" s="1" t="s">
        <v>364</v>
      </c>
      <c r="B192" s="4"/>
      <c r="C192" s="4" t="s">
        <v>365</v>
      </c>
      <c r="D192" s="4">
        <v>57324.0</v>
      </c>
      <c r="E192" s="6" t="s">
        <v>15</v>
      </c>
      <c r="F192" s="6" t="s">
        <v>142</v>
      </c>
      <c r="G192" s="6" t="s">
        <v>31</v>
      </c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63.57"/>
    <col customWidth="1" min="3" max="6" width="14.43"/>
  </cols>
  <sheetData>
    <row r="1" ht="15.75" customHeight="1">
      <c r="A1" s="1" t="s">
        <v>0</v>
      </c>
      <c r="B1" s="4" t="s">
        <v>3</v>
      </c>
      <c r="C1" s="4" t="s">
        <v>4</v>
      </c>
    </row>
    <row r="2" ht="15.75" customHeight="1">
      <c r="A2" s="1" t="s">
        <v>20</v>
      </c>
      <c r="B2" s="4" t="s">
        <v>21</v>
      </c>
      <c r="C2" s="4">
        <v>6980.0</v>
      </c>
    </row>
    <row r="3" ht="15.75" customHeight="1">
      <c r="A3" s="1" t="s">
        <v>25</v>
      </c>
      <c r="B3" s="4" t="s">
        <v>26</v>
      </c>
      <c r="C3" s="4">
        <v>9285.0</v>
      </c>
    </row>
    <row r="4" ht="15.75" customHeight="1">
      <c r="A4" s="1" t="s">
        <v>29</v>
      </c>
      <c r="B4" s="4" t="s">
        <v>30</v>
      </c>
      <c r="C4" s="4">
        <v>15369.0</v>
      </c>
    </row>
    <row r="5" ht="15.75" customHeight="1">
      <c r="A5" s="1" t="s">
        <v>34</v>
      </c>
      <c r="B5" s="4" t="s">
        <v>35</v>
      </c>
      <c r="C5" s="4">
        <v>35133.0</v>
      </c>
    </row>
    <row r="6" ht="15.75" customHeight="1">
      <c r="A6" s="1" t="s">
        <v>13</v>
      </c>
      <c r="B6" s="4" t="s">
        <v>14</v>
      </c>
      <c r="C6" s="4">
        <v>27985.0</v>
      </c>
    </row>
    <row r="7" ht="15.75" customHeight="1">
      <c r="A7" s="1" t="s">
        <v>38</v>
      </c>
      <c r="B7" s="4" t="s">
        <v>39</v>
      </c>
      <c r="C7" s="4">
        <v>15797.0</v>
      </c>
    </row>
    <row r="8" ht="15.75" customHeight="1">
      <c r="A8" s="1" t="s">
        <v>44</v>
      </c>
      <c r="B8" s="4" t="s">
        <v>45</v>
      </c>
      <c r="C8" s="4">
        <v>13731.0</v>
      </c>
    </row>
    <row r="9" ht="15.75" customHeight="1">
      <c r="A9" s="1" t="s">
        <v>46</v>
      </c>
      <c r="B9" s="4" t="s">
        <v>47</v>
      </c>
      <c r="C9" s="4">
        <v>11780.0</v>
      </c>
    </row>
    <row r="10" ht="15.75" customHeight="1">
      <c r="A10" s="1" t="s">
        <v>49</v>
      </c>
      <c r="B10" s="4" t="s">
        <v>50</v>
      </c>
      <c r="C10" s="4">
        <v>27863.0</v>
      </c>
    </row>
    <row r="11" ht="15.75" customHeight="1">
      <c r="A11" s="1" t="s">
        <v>55</v>
      </c>
      <c r="B11" s="4" t="s">
        <v>56</v>
      </c>
      <c r="C11" s="4">
        <v>9053.0</v>
      </c>
    </row>
    <row r="12" ht="15.75" customHeight="1">
      <c r="A12" s="1" t="s">
        <v>58</v>
      </c>
      <c r="B12" s="4" t="s">
        <v>59</v>
      </c>
      <c r="C12" s="4">
        <v>12380.0</v>
      </c>
    </row>
    <row r="13" ht="15.75" customHeight="1">
      <c r="A13" s="1" t="s">
        <v>62</v>
      </c>
      <c r="B13" s="4" t="s">
        <v>63</v>
      </c>
      <c r="C13" s="4">
        <v>24997.0</v>
      </c>
    </row>
    <row r="14" ht="15.75" customHeight="1">
      <c r="A14" s="1" t="s">
        <v>66</v>
      </c>
      <c r="B14" s="4" t="s">
        <v>67</v>
      </c>
      <c r="C14" s="4">
        <v>6011.0</v>
      </c>
    </row>
    <row r="15" ht="15.75" customHeight="1">
      <c r="A15" s="1" t="s">
        <v>69</v>
      </c>
      <c r="B15" s="4" t="s">
        <v>70</v>
      </c>
      <c r="C15" s="4">
        <v>25784.0</v>
      </c>
    </row>
    <row r="16" ht="15.75" customHeight="1">
      <c r="A16" s="1" t="s">
        <v>72</v>
      </c>
      <c r="B16" s="4" t="s">
        <v>73</v>
      </c>
      <c r="C16" s="4">
        <v>30303.0</v>
      </c>
    </row>
    <row r="17" ht="15.75" customHeight="1">
      <c r="A17" s="1" t="s">
        <v>76</v>
      </c>
      <c r="B17" s="4" t="s">
        <v>77</v>
      </c>
      <c r="C17" s="4">
        <v>16559.0</v>
      </c>
    </row>
    <row r="18" ht="15.75" customHeight="1">
      <c r="A18" s="1" t="s">
        <v>79</v>
      </c>
      <c r="B18" s="4" t="s">
        <v>80</v>
      </c>
      <c r="C18" s="4">
        <v>132.0</v>
      </c>
    </row>
    <row r="19" ht="15.75" customHeight="1">
      <c r="A19" s="1" t="s">
        <v>81</v>
      </c>
      <c r="B19" s="4" t="s">
        <v>82</v>
      </c>
      <c r="C19" s="4">
        <v>10383.0</v>
      </c>
    </row>
    <row r="20" ht="15.75" customHeight="1">
      <c r="A20" s="1" t="s">
        <v>85</v>
      </c>
      <c r="B20" s="4" t="s">
        <v>86</v>
      </c>
      <c r="C20" s="4">
        <v>12255.0</v>
      </c>
    </row>
    <row r="21" ht="15.75" customHeight="1">
      <c r="A21" s="1" t="s">
        <v>89</v>
      </c>
      <c r="B21" s="4" t="s">
        <v>90</v>
      </c>
      <c r="C21" s="4">
        <v>17404.0</v>
      </c>
    </row>
    <row r="22" ht="15.75" customHeight="1">
      <c r="A22" s="1" t="s">
        <v>581</v>
      </c>
      <c r="B22" s="4" t="s">
        <v>92</v>
      </c>
      <c r="C22" s="4">
        <v>867.0</v>
      </c>
    </row>
    <row r="23" ht="15.75" customHeight="1">
      <c r="A23" s="1" t="s">
        <v>93</v>
      </c>
      <c r="B23" s="4" t="s">
        <v>94</v>
      </c>
      <c r="C23" s="4">
        <v>13202.0</v>
      </c>
    </row>
    <row r="24" ht="15.75" customHeight="1">
      <c r="A24" s="1" t="s">
        <v>95</v>
      </c>
      <c r="B24" s="4" t="s">
        <v>96</v>
      </c>
      <c r="C24" s="4">
        <v>36243.0</v>
      </c>
    </row>
    <row r="25" ht="15.75" customHeight="1">
      <c r="A25" s="1" t="s">
        <v>101</v>
      </c>
      <c r="B25" s="4" t="s">
        <v>102</v>
      </c>
      <c r="C25" s="4">
        <v>13413.0</v>
      </c>
    </row>
    <row r="26" ht="15.75" customHeight="1">
      <c r="A26" s="1" t="s">
        <v>103</v>
      </c>
      <c r="B26" s="4" t="s">
        <v>104</v>
      </c>
      <c r="C26" s="4">
        <v>11387.0</v>
      </c>
    </row>
    <row r="27" ht="15.75" customHeight="1">
      <c r="A27" s="1" t="s">
        <v>107</v>
      </c>
      <c r="B27" s="4" t="s">
        <v>108</v>
      </c>
      <c r="C27" s="4">
        <v>26525.0</v>
      </c>
    </row>
    <row r="28" ht="15.75" customHeight="1">
      <c r="A28" s="1" t="s">
        <v>111</v>
      </c>
      <c r="B28" s="4" t="s">
        <v>112</v>
      </c>
      <c r="C28" s="4">
        <v>145822.0</v>
      </c>
    </row>
    <row r="29" ht="15.75" customHeight="1">
      <c r="A29" s="1" t="s">
        <v>113</v>
      </c>
      <c r="B29" s="4" t="s">
        <v>114</v>
      </c>
      <c r="C29" s="4">
        <v>12905.0</v>
      </c>
    </row>
    <row r="30" ht="15.75" customHeight="1">
      <c r="A30" s="1" t="s">
        <v>116</v>
      </c>
      <c r="B30" s="4" t="s">
        <v>117</v>
      </c>
      <c r="C30" s="4">
        <v>12293.0</v>
      </c>
    </row>
    <row r="31" ht="15.75" customHeight="1">
      <c r="A31" s="1" t="s">
        <v>120</v>
      </c>
      <c r="B31" s="4" t="s">
        <v>121</v>
      </c>
      <c r="C31" s="4">
        <v>26794.0</v>
      </c>
    </row>
    <row r="32" ht="15.75" customHeight="1">
      <c r="A32" s="1" t="s">
        <v>122</v>
      </c>
      <c r="B32" s="4" t="s">
        <v>123</v>
      </c>
      <c r="C32" s="4">
        <v>36870.0</v>
      </c>
    </row>
    <row r="33" ht="15.75" customHeight="1">
      <c r="A33" s="1" t="s">
        <v>125</v>
      </c>
      <c r="B33" s="4" t="s">
        <v>126</v>
      </c>
      <c r="C33" s="4">
        <v>40055.0</v>
      </c>
    </row>
    <row r="34" ht="15.75" customHeight="1">
      <c r="A34" s="1" t="s">
        <v>127</v>
      </c>
      <c r="B34" s="4" t="s">
        <v>128</v>
      </c>
      <c r="C34" s="4">
        <v>14581.0</v>
      </c>
    </row>
    <row r="35" ht="15.75" customHeight="1">
      <c r="A35" s="1" t="s">
        <v>129</v>
      </c>
      <c r="B35" s="4" t="s">
        <v>130</v>
      </c>
      <c r="C35" s="4">
        <v>28063.0</v>
      </c>
    </row>
    <row r="36" ht="15.75" customHeight="1">
      <c r="A36" s="1" t="s">
        <v>132</v>
      </c>
      <c r="B36" s="4" t="s">
        <v>133</v>
      </c>
      <c r="C36" s="4">
        <v>33756.0</v>
      </c>
    </row>
    <row r="37" ht="15.75" customHeight="1">
      <c r="A37" s="1" t="s">
        <v>136</v>
      </c>
      <c r="B37" s="4" t="s">
        <v>137</v>
      </c>
      <c r="C37" s="4">
        <v>57362.0</v>
      </c>
    </row>
    <row r="38" ht="15.75" customHeight="1">
      <c r="A38" s="1" t="s">
        <v>140</v>
      </c>
      <c r="B38" s="4" t="s">
        <v>141</v>
      </c>
      <c r="C38" s="4">
        <v>810.0</v>
      </c>
    </row>
    <row r="39" ht="15.75" customHeight="1">
      <c r="A39" s="1" t="s">
        <v>144</v>
      </c>
      <c r="B39" s="4" t="s">
        <v>145</v>
      </c>
      <c r="C39" s="4">
        <v>42522.0</v>
      </c>
    </row>
    <row r="40" ht="15.75" customHeight="1">
      <c r="A40" s="1" t="s">
        <v>148</v>
      </c>
      <c r="B40" s="4" t="s">
        <v>149</v>
      </c>
      <c r="C40" s="4">
        <v>18214.0</v>
      </c>
    </row>
    <row r="41" ht="15.75" customHeight="1">
      <c r="A41" s="1" t="s">
        <v>151</v>
      </c>
      <c r="B41" s="4" t="s">
        <v>152</v>
      </c>
      <c r="C41" s="4">
        <v>381.0</v>
      </c>
    </row>
    <row r="42" ht="15.75" customHeight="1">
      <c r="A42" s="1" t="s">
        <v>153</v>
      </c>
      <c r="B42" s="4" t="s">
        <v>154</v>
      </c>
      <c r="C42" s="4">
        <v>59956.0</v>
      </c>
    </row>
    <row r="43" ht="15.75" customHeight="1">
      <c r="A43" s="1" t="s">
        <v>157</v>
      </c>
      <c r="B43" s="4" t="s">
        <v>158</v>
      </c>
      <c r="C43" s="4">
        <v>17216.0</v>
      </c>
    </row>
    <row r="44" ht="15.75" customHeight="1">
      <c r="A44" s="1" t="s">
        <v>162</v>
      </c>
      <c r="B44" s="4" t="s">
        <v>163</v>
      </c>
      <c r="C44" s="4">
        <v>12392.0</v>
      </c>
    </row>
    <row r="45" ht="15.75" customHeight="1">
      <c r="A45" s="1" t="s">
        <v>165</v>
      </c>
      <c r="B45" s="4" t="s">
        <v>166</v>
      </c>
      <c r="C45" s="4">
        <v>11164.0</v>
      </c>
    </row>
    <row r="46" ht="15.75" customHeight="1">
      <c r="A46" s="1" t="s">
        <v>168</v>
      </c>
      <c r="B46" s="4" t="s">
        <v>169</v>
      </c>
      <c r="C46" s="4">
        <v>9563.0</v>
      </c>
    </row>
    <row r="47" ht="15.75" customHeight="1">
      <c r="A47" s="1" t="s">
        <v>171</v>
      </c>
      <c r="B47" s="4" t="s">
        <v>172</v>
      </c>
      <c r="C47" s="4">
        <v>9697.0</v>
      </c>
    </row>
    <row r="48" ht="15.75" customHeight="1">
      <c r="A48" s="1" t="s">
        <v>173</v>
      </c>
      <c r="B48" s="4" t="s">
        <v>174</v>
      </c>
      <c r="C48" s="4">
        <v>11165.0</v>
      </c>
    </row>
    <row r="49" ht="15.75" customHeight="1">
      <c r="A49" s="1" t="s">
        <v>176</v>
      </c>
      <c r="B49" s="4" t="s">
        <v>177</v>
      </c>
      <c r="C49" s="4">
        <v>88730.0</v>
      </c>
    </row>
    <row r="50" ht="15.75" customHeight="1">
      <c r="A50" s="1" t="s">
        <v>178</v>
      </c>
      <c r="B50" s="4" t="s">
        <v>179</v>
      </c>
      <c r="C50" s="4">
        <v>23604.0</v>
      </c>
    </row>
    <row r="51" ht="15.75" customHeight="1">
      <c r="A51" s="1" t="s">
        <v>182</v>
      </c>
      <c r="B51" s="4" t="s">
        <v>183</v>
      </c>
      <c r="C51" s="4">
        <v>10713.0</v>
      </c>
    </row>
    <row r="52" ht="15.75" customHeight="1">
      <c r="A52" s="1" t="s">
        <v>185</v>
      </c>
      <c r="B52" s="4" t="s">
        <v>186</v>
      </c>
      <c r="C52" s="4">
        <v>18890.0</v>
      </c>
    </row>
    <row r="53" ht="15.75" customHeight="1">
      <c r="A53" s="1" t="s">
        <v>189</v>
      </c>
      <c r="B53" s="4" t="s">
        <v>190</v>
      </c>
      <c r="C53" s="4">
        <v>31647.0</v>
      </c>
    </row>
    <row r="54" ht="15.75" customHeight="1">
      <c r="A54" s="1" t="s">
        <v>194</v>
      </c>
      <c r="B54" s="4" t="s">
        <v>195</v>
      </c>
      <c r="C54" s="4">
        <v>13626.0</v>
      </c>
    </row>
    <row r="55" ht="15.75" customHeight="1">
      <c r="A55" s="1" t="s">
        <v>198</v>
      </c>
      <c r="B55" s="4" t="s">
        <v>199</v>
      </c>
      <c r="C55" s="4">
        <v>170576.0</v>
      </c>
    </row>
    <row r="56" ht="15.75" customHeight="1">
      <c r="A56" s="1" t="s">
        <v>201</v>
      </c>
      <c r="B56" s="4" t="s">
        <v>202</v>
      </c>
      <c r="C56" s="4">
        <v>1405.0</v>
      </c>
    </row>
    <row r="57" ht="15.75" customHeight="1">
      <c r="A57" s="1" t="s">
        <v>204</v>
      </c>
      <c r="B57" s="4" t="s">
        <v>205</v>
      </c>
      <c r="C57" s="4">
        <v>57074.0</v>
      </c>
    </row>
    <row r="58" ht="15.75" customHeight="1">
      <c r="A58" s="1" t="s">
        <v>206</v>
      </c>
      <c r="B58" s="4" t="s">
        <v>207</v>
      </c>
      <c r="C58" s="4">
        <v>1208.0</v>
      </c>
    </row>
    <row r="59" ht="15.75" customHeight="1">
      <c r="A59" s="1" t="s">
        <v>208</v>
      </c>
      <c r="B59" s="4" t="s">
        <v>209</v>
      </c>
      <c r="C59" s="4">
        <v>18268.0</v>
      </c>
    </row>
    <row r="60" ht="15.75" customHeight="1">
      <c r="A60" s="1" t="s">
        <v>211</v>
      </c>
      <c r="B60" s="4" t="s">
        <v>212</v>
      </c>
      <c r="C60" s="4">
        <v>8640.0</v>
      </c>
    </row>
    <row r="61" ht="15.75" customHeight="1">
      <c r="A61" s="1" t="s">
        <v>213</v>
      </c>
      <c r="B61" s="4" t="s">
        <v>214</v>
      </c>
      <c r="C61" s="4">
        <v>18177.0</v>
      </c>
    </row>
    <row r="62" ht="15.75" customHeight="1">
      <c r="A62" s="1" t="s">
        <v>215</v>
      </c>
      <c r="B62" s="4" t="s">
        <v>216</v>
      </c>
      <c r="C62" s="4">
        <v>16962.0</v>
      </c>
    </row>
    <row r="63" ht="15.75" customHeight="1">
      <c r="A63" s="1" t="s">
        <v>218</v>
      </c>
      <c r="B63" s="4" t="s">
        <v>219</v>
      </c>
      <c r="C63" s="4">
        <v>15480.0</v>
      </c>
    </row>
    <row r="64" ht="15.75" customHeight="1">
      <c r="A64" s="1" t="s">
        <v>220</v>
      </c>
      <c r="B64" s="4" t="s">
        <v>221</v>
      </c>
      <c r="C64" s="4">
        <v>23824.0</v>
      </c>
    </row>
    <row r="65" ht="15.75" customHeight="1">
      <c r="A65" s="1" t="s">
        <v>224</v>
      </c>
      <c r="B65" s="4" t="s">
        <v>225</v>
      </c>
      <c r="C65" s="4">
        <v>13530.0</v>
      </c>
    </row>
    <row r="66" ht="15.75" customHeight="1">
      <c r="A66" s="1" t="s">
        <v>227</v>
      </c>
      <c r="B66" s="4" t="s">
        <v>228</v>
      </c>
      <c r="C66" s="4">
        <v>18968.0</v>
      </c>
    </row>
    <row r="67" ht="15.75" customHeight="1">
      <c r="A67" s="1" t="s">
        <v>229</v>
      </c>
      <c r="B67" s="4" t="s">
        <v>230</v>
      </c>
      <c r="C67" s="4">
        <v>23693.0</v>
      </c>
    </row>
    <row r="68" ht="15.75" customHeight="1">
      <c r="A68" s="1" t="s">
        <v>232</v>
      </c>
      <c r="B68" s="4" t="s">
        <v>233</v>
      </c>
      <c r="C68" s="4">
        <v>9745.0</v>
      </c>
    </row>
    <row r="69" ht="15.75" customHeight="1">
      <c r="A69" s="1" t="s">
        <v>234</v>
      </c>
      <c r="B69" s="4" t="s">
        <v>235</v>
      </c>
      <c r="C69" s="4">
        <v>21065.0</v>
      </c>
    </row>
    <row r="70" ht="15.75" customHeight="1">
      <c r="A70" s="1" t="s">
        <v>236</v>
      </c>
      <c r="B70" s="4" t="s">
        <v>237</v>
      </c>
      <c r="C70" s="4">
        <v>13620.0</v>
      </c>
    </row>
    <row r="71" ht="15.75" customHeight="1">
      <c r="A71" s="1" t="s">
        <v>239</v>
      </c>
      <c r="B71" s="4" t="s">
        <v>240</v>
      </c>
      <c r="C71" s="4">
        <v>12083.0</v>
      </c>
    </row>
    <row r="72" ht="15.75" customHeight="1">
      <c r="A72" s="1" t="s">
        <v>243</v>
      </c>
      <c r="B72" s="4" t="s">
        <v>244</v>
      </c>
      <c r="C72" s="4">
        <v>9921.0</v>
      </c>
    </row>
    <row r="73" ht="15.75" customHeight="1">
      <c r="A73" s="1" t="s">
        <v>245</v>
      </c>
      <c r="B73" s="4" t="s">
        <v>246</v>
      </c>
      <c r="C73" s="4">
        <v>6353.0</v>
      </c>
    </row>
    <row r="74" ht="15.75" customHeight="1">
      <c r="A74" s="1" t="s">
        <v>247</v>
      </c>
      <c r="B74" s="4" t="s">
        <v>248</v>
      </c>
      <c r="C74" s="4">
        <v>22670.0</v>
      </c>
    </row>
    <row r="75" ht="15.75" customHeight="1">
      <c r="A75" s="1" t="s">
        <v>249</v>
      </c>
      <c r="B75" s="4" t="s">
        <v>250</v>
      </c>
      <c r="C75" s="4">
        <v>12947.0</v>
      </c>
    </row>
    <row r="76" ht="15.75" customHeight="1">
      <c r="A76" s="1" t="s">
        <v>251</v>
      </c>
      <c r="B76" s="4" t="s">
        <v>252</v>
      </c>
      <c r="C76" s="4">
        <v>13403.0</v>
      </c>
    </row>
    <row r="77" ht="15.75" customHeight="1">
      <c r="A77" s="1" t="s">
        <v>253</v>
      </c>
      <c r="B77" s="4" t="s">
        <v>254</v>
      </c>
      <c r="C77" s="4">
        <v>9717.0</v>
      </c>
    </row>
    <row r="78" ht="15.75" customHeight="1">
      <c r="A78" s="1" t="s">
        <v>255</v>
      </c>
      <c r="B78" s="4" t="s">
        <v>256</v>
      </c>
      <c r="C78" s="4">
        <v>19312.0</v>
      </c>
    </row>
    <row r="79" ht="15.75" customHeight="1">
      <c r="A79" s="1" t="s">
        <v>258</v>
      </c>
      <c r="B79" s="4" t="s">
        <v>259</v>
      </c>
      <c r="C79" s="4">
        <v>54455.0</v>
      </c>
    </row>
    <row r="80" ht="15.75" customHeight="1">
      <c r="A80" s="1" t="s">
        <v>260</v>
      </c>
      <c r="B80" s="4" t="s">
        <v>261</v>
      </c>
      <c r="C80" s="4">
        <v>42260.0</v>
      </c>
    </row>
    <row r="81" ht="15.75" customHeight="1">
      <c r="A81" s="1" t="s">
        <v>263</v>
      </c>
      <c r="B81" s="4" t="s">
        <v>264</v>
      </c>
      <c r="C81" s="4">
        <v>19424.0</v>
      </c>
    </row>
    <row r="82" ht="15.75" customHeight="1">
      <c r="A82" s="1" t="s">
        <v>266</v>
      </c>
      <c r="B82" s="4" t="s">
        <v>267</v>
      </c>
      <c r="C82" s="4">
        <v>10529.0</v>
      </c>
    </row>
    <row r="83" ht="15.75" customHeight="1">
      <c r="A83" s="1" t="s">
        <v>268</v>
      </c>
      <c r="B83" s="4" t="s">
        <v>269</v>
      </c>
      <c r="C83" s="4">
        <v>50298.0</v>
      </c>
    </row>
    <row r="84" ht="15.75" customHeight="1">
      <c r="A84" s="1" t="s">
        <v>270</v>
      </c>
      <c r="B84" s="4" t="s">
        <v>271</v>
      </c>
      <c r="C84" s="4">
        <v>14242.0</v>
      </c>
    </row>
    <row r="85" ht="15.75" customHeight="1">
      <c r="A85" s="1" t="s">
        <v>275</v>
      </c>
      <c r="B85" s="4" t="s">
        <v>276</v>
      </c>
      <c r="C85" s="4">
        <v>22534.0</v>
      </c>
    </row>
    <row r="86" ht="15.75" customHeight="1">
      <c r="A86" s="1" t="s">
        <v>277</v>
      </c>
      <c r="B86" s="4" t="s">
        <v>278</v>
      </c>
      <c r="C86" s="4">
        <v>17514.0</v>
      </c>
    </row>
    <row r="87" ht="15.75" customHeight="1">
      <c r="A87" s="1" t="s">
        <v>280</v>
      </c>
      <c r="B87" s="4" t="s">
        <v>281</v>
      </c>
      <c r="C87" s="4">
        <v>19890.0</v>
      </c>
    </row>
    <row r="88" ht="15.75" customHeight="1">
      <c r="A88" s="1" t="s">
        <v>283</v>
      </c>
      <c r="B88" s="4" t="s">
        <v>284</v>
      </c>
      <c r="C88" s="4">
        <v>32914.0</v>
      </c>
    </row>
    <row r="89" ht="15.75" customHeight="1">
      <c r="A89" s="1" t="s">
        <v>286</v>
      </c>
      <c r="B89" s="4" t="s">
        <v>287</v>
      </c>
      <c r="C89" s="4">
        <v>15446.0</v>
      </c>
    </row>
    <row r="90" ht="15.75" customHeight="1">
      <c r="A90" s="1" t="s">
        <v>290</v>
      </c>
      <c r="B90" s="4" t="s">
        <v>291</v>
      </c>
      <c r="C90" s="4">
        <v>22471.0</v>
      </c>
    </row>
    <row r="91" ht="15.75" customHeight="1">
      <c r="A91" s="1" t="s">
        <v>292</v>
      </c>
      <c r="B91" s="4" t="s">
        <v>293</v>
      </c>
      <c r="C91" s="4">
        <v>27.0</v>
      </c>
    </row>
    <row r="92" ht="15.75" customHeight="1">
      <c r="A92" s="1" t="s">
        <v>294</v>
      </c>
      <c r="B92" s="4" t="s">
        <v>295</v>
      </c>
      <c r="C92" s="4">
        <v>110623.0</v>
      </c>
    </row>
    <row r="93" ht="15.75" customHeight="1">
      <c r="A93" s="1" t="s">
        <v>296</v>
      </c>
      <c r="B93" s="4" t="s">
        <v>297</v>
      </c>
      <c r="C93" s="4">
        <v>19895.0</v>
      </c>
    </row>
    <row r="94" ht="15.75" customHeight="1">
      <c r="A94" s="1" t="s">
        <v>300</v>
      </c>
      <c r="B94" s="4" t="s">
        <v>301</v>
      </c>
      <c r="C94" s="4">
        <v>35091.0</v>
      </c>
    </row>
    <row r="95" ht="15.75" customHeight="1">
      <c r="A95" s="1" t="s">
        <v>302</v>
      </c>
      <c r="B95" s="4" t="s">
        <v>303</v>
      </c>
      <c r="C95" s="4">
        <v>11193.0</v>
      </c>
    </row>
    <row r="96" ht="15.75" customHeight="1">
      <c r="A96" s="1" t="s">
        <v>305</v>
      </c>
      <c r="B96" s="4" t="s">
        <v>306</v>
      </c>
      <c r="C96" s="4">
        <v>384.0</v>
      </c>
    </row>
    <row r="97" ht="15.75" customHeight="1">
      <c r="A97" s="1" t="s">
        <v>309</v>
      </c>
      <c r="B97" s="4" t="s">
        <v>310</v>
      </c>
      <c r="C97" s="4">
        <v>21468.0</v>
      </c>
    </row>
    <row r="98" ht="15.75" customHeight="1">
      <c r="A98" s="1" t="s">
        <v>311</v>
      </c>
      <c r="B98" s="4" t="s">
        <v>312</v>
      </c>
      <c r="C98" s="4">
        <v>3.0</v>
      </c>
    </row>
    <row r="99" ht="15.75" customHeight="1">
      <c r="A99" s="1" t="s">
        <v>313</v>
      </c>
      <c r="B99" s="4" t="s">
        <v>314</v>
      </c>
      <c r="C99" s="4">
        <v>62886.0</v>
      </c>
    </row>
    <row r="100" ht="15.75" customHeight="1">
      <c r="A100" s="1" t="s">
        <v>315</v>
      </c>
      <c r="B100" s="4" t="s">
        <v>316</v>
      </c>
      <c r="C100" s="4">
        <v>11132.0</v>
      </c>
    </row>
    <row r="101" ht="15.75" customHeight="1">
      <c r="A101" s="1" t="s">
        <v>318</v>
      </c>
      <c r="B101" s="4" t="s">
        <v>319</v>
      </c>
      <c r="C101" s="4">
        <v>30725.0</v>
      </c>
    </row>
    <row r="102" ht="15.75" customHeight="1">
      <c r="A102" s="1" t="s">
        <v>321</v>
      </c>
      <c r="B102" s="4" t="s">
        <v>322</v>
      </c>
      <c r="C102" s="4">
        <v>10286.0</v>
      </c>
    </row>
    <row r="103" ht="15.75" customHeight="1">
      <c r="A103" s="1" t="s">
        <v>323</v>
      </c>
      <c r="B103" s="4" t="s">
        <v>324</v>
      </c>
      <c r="C103" s="4">
        <v>12815.0</v>
      </c>
    </row>
    <row r="104" ht="15.75" customHeight="1">
      <c r="A104" s="1" t="s">
        <v>325</v>
      </c>
      <c r="B104" s="4" t="s">
        <v>326</v>
      </c>
      <c r="C104" s="4">
        <v>24497.0</v>
      </c>
    </row>
    <row r="105" ht="15.75" customHeight="1">
      <c r="A105" s="1" t="s">
        <v>329</v>
      </c>
      <c r="B105" s="4" t="s">
        <v>330</v>
      </c>
      <c r="C105" s="4">
        <v>31312.0</v>
      </c>
    </row>
    <row r="106" ht="15.75" customHeight="1">
      <c r="A106" s="1" t="s">
        <v>332</v>
      </c>
      <c r="B106" s="4" t="s">
        <v>333</v>
      </c>
      <c r="C106" s="4">
        <v>11024.0</v>
      </c>
    </row>
    <row r="107" ht="15.75" customHeight="1">
      <c r="A107" s="1" t="s">
        <v>335</v>
      </c>
      <c r="B107" s="4" t="s">
        <v>336</v>
      </c>
      <c r="C107" s="4">
        <v>6782.0</v>
      </c>
    </row>
    <row r="108" ht="15.75" customHeight="1">
      <c r="A108" s="1" t="s">
        <v>339</v>
      </c>
      <c r="B108" s="4" t="s">
        <v>340</v>
      </c>
      <c r="C108" s="4">
        <v>34726.0</v>
      </c>
    </row>
    <row r="109" ht="15.75" customHeight="1">
      <c r="A109" s="1" t="s">
        <v>343</v>
      </c>
      <c r="B109" s="4" t="s">
        <v>344</v>
      </c>
      <c r="C109" s="4">
        <v>28914.0</v>
      </c>
    </row>
    <row r="110" ht="15.75" customHeight="1">
      <c r="A110" s="1" t="s">
        <v>347</v>
      </c>
      <c r="B110" s="4" t="s">
        <v>348</v>
      </c>
      <c r="C110" s="4">
        <v>11955.0</v>
      </c>
    </row>
    <row r="111" ht="15.75" customHeight="1">
      <c r="A111" s="1" t="s">
        <v>351</v>
      </c>
      <c r="B111" s="4" t="s">
        <v>352</v>
      </c>
      <c r="C111" s="4">
        <v>29241.0</v>
      </c>
    </row>
    <row r="112" ht="15.75" customHeight="1">
      <c r="A112" s="1" t="s">
        <v>353</v>
      </c>
      <c r="B112" s="4" t="s">
        <v>354</v>
      </c>
      <c r="C112" s="4">
        <v>25647.0</v>
      </c>
    </row>
    <row r="113" ht="15.75" customHeight="1">
      <c r="A113" s="1" t="s">
        <v>356</v>
      </c>
      <c r="B113" s="4" t="s">
        <v>357</v>
      </c>
      <c r="C113" s="4">
        <v>340.0</v>
      </c>
    </row>
    <row r="114" ht="15.75" customHeight="1">
      <c r="A114" s="1" t="s">
        <v>358</v>
      </c>
      <c r="B114" s="4" t="s">
        <v>359</v>
      </c>
      <c r="C114" s="4">
        <v>16071.0</v>
      </c>
    </row>
    <row r="115" ht="15.75" customHeight="1">
      <c r="A115" s="1" t="s">
        <v>361</v>
      </c>
      <c r="B115" s="4" t="s">
        <v>362</v>
      </c>
      <c r="C115" s="4">
        <v>7779.0</v>
      </c>
    </row>
    <row r="116" ht="15.75" customHeight="1">
      <c r="A116" s="1" t="s">
        <v>364</v>
      </c>
      <c r="B116" s="4" t="s">
        <v>365</v>
      </c>
      <c r="C116" s="4">
        <v>57324.0</v>
      </c>
    </row>
    <row r="117" ht="15.75" customHeight="1">
      <c r="A117" s="1" t="s">
        <v>367</v>
      </c>
      <c r="B117" s="4" t="s">
        <v>368</v>
      </c>
      <c r="C117" s="4">
        <v>7424.0</v>
      </c>
    </row>
    <row r="118" ht="15.75" customHeight="1">
      <c r="A118" s="1" t="s">
        <v>371</v>
      </c>
      <c r="B118" s="4" t="s">
        <v>372</v>
      </c>
      <c r="C118" s="4">
        <v>9139.0</v>
      </c>
    </row>
    <row r="119" ht="15.75" customHeight="1">
      <c r="A119" s="1" t="s">
        <v>374</v>
      </c>
      <c r="B119" s="4" t="s">
        <v>375</v>
      </c>
      <c r="C119" s="4">
        <v>10920.0</v>
      </c>
    </row>
    <row r="120" ht="15.75" customHeight="1">
      <c r="A120" s="1" t="s">
        <v>377</v>
      </c>
      <c r="B120" s="4" t="s">
        <v>378</v>
      </c>
      <c r="C120" s="4">
        <v>11661.0</v>
      </c>
    </row>
    <row r="121" ht="15.75" customHeight="1">
      <c r="A121" s="1" t="s">
        <v>380</v>
      </c>
      <c r="B121" s="4" t="s">
        <v>381</v>
      </c>
      <c r="C121" s="4">
        <v>31776.0</v>
      </c>
    </row>
    <row r="122" ht="15.75" customHeight="1">
      <c r="A122" s="1" t="s">
        <v>382</v>
      </c>
      <c r="B122" s="4" t="s">
        <v>381</v>
      </c>
      <c r="C122" s="4">
        <v>111.0</v>
      </c>
    </row>
    <row r="123" ht="15.75" customHeight="1">
      <c r="A123" s="1" t="s">
        <v>383</v>
      </c>
      <c r="B123" s="4" t="s">
        <v>384</v>
      </c>
      <c r="C123" s="4">
        <v>9641.0</v>
      </c>
    </row>
    <row r="124" ht="15.75" customHeight="1">
      <c r="A124" s="1" t="s">
        <v>386</v>
      </c>
      <c r="B124" s="4" t="s">
        <v>387</v>
      </c>
      <c r="C124" s="4">
        <v>13984.0</v>
      </c>
    </row>
    <row r="125" ht="15.75" customHeight="1">
      <c r="A125" s="1" t="s">
        <v>389</v>
      </c>
      <c r="B125" s="4" t="s">
        <v>390</v>
      </c>
      <c r="C125" s="4">
        <v>10310.0</v>
      </c>
    </row>
    <row r="126" ht="15.75" customHeight="1">
      <c r="A126" s="1" t="s">
        <v>393</v>
      </c>
      <c r="B126" s="4" t="s">
        <v>394</v>
      </c>
      <c r="C126" s="4">
        <v>15688.0</v>
      </c>
    </row>
    <row r="127" ht="15.75" customHeight="1">
      <c r="A127" s="1" t="s">
        <v>395</v>
      </c>
      <c r="B127" s="4" t="s">
        <v>396</v>
      </c>
      <c r="C127" s="4">
        <v>17490.0</v>
      </c>
    </row>
    <row r="128" ht="15.75" customHeight="1">
      <c r="A128" s="1" t="s">
        <v>397</v>
      </c>
      <c r="B128" s="4" t="s">
        <v>398</v>
      </c>
      <c r="C128" s="4">
        <v>11401.0</v>
      </c>
    </row>
    <row r="129" ht="15.75" customHeight="1">
      <c r="A129" s="1" t="s">
        <v>402</v>
      </c>
      <c r="B129" s="4" t="s">
        <v>403</v>
      </c>
      <c r="C129" s="4">
        <v>9203.0</v>
      </c>
    </row>
    <row r="130" ht="15.75" customHeight="1">
      <c r="A130" s="1" t="s">
        <v>405</v>
      </c>
      <c r="B130" s="4" t="s">
        <v>152</v>
      </c>
      <c r="C130" s="4">
        <v>256.0</v>
      </c>
    </row>
    <row r="131" ht="15.75" customHeight="1">
      <c r="A131" s="1" t="s">
        <v>406</v>
      </c>
      <c r="B131" s="4" t="s">
        <v>407</v>
      </c>
      <c r="C131" s="4">
        <v>10789.0</v>
      </c>
    </row>
    <row r="132" ht="15.75" customHeight="1">
      <c r="A132" s="1" t="s">
        <v>409</v>
      </c>
      <c r="B132" s="4" t="s">
        <v>410</v>
      </c>
      <c r="C132" s="4">
        <v>11403.0</v>
      </c>
    </row>
    <row r="133" ht="15.75" customHeight="1">
      <c r="A133" s="1" t="s">
        <v>412</v>
      </c>
      <c r="B133" s="4" t="s">
        <v>413</v>
      </c>
      <c r="C133" s="4">
        <v>3073.0</v>
      </c>
    </row>
    <row r="134" ht="15.75" customHeight="1">
      <c r="A134" s="1" t="s">
        <v>415</v>
      </c>
      <c r="B134" s="4" t="s">
        <v>416</v>
      </c>
      <c r="C134" s="4">
        <v>905.0</v>
      </c>
    </row>
    <row r="135" ht="15.75" customHeight="1">
      <c r="A135" s="1" t="s">
        <v>417</v>
      </c>
      <c r="B135" s="4" t="s">
        <v>418</v>
      </c>
      <c r="C135" s="4">
        <v>12613.0</v>
      </c>
    </row>
    <row r="136" ht="15.75" customHeight="1">
      <c r="A136" s="1" t="s">
        <v>419</v>
      </c>
      <c r="B136" s="4" t="s">
        <v>420</v>
      </c>
      <c r="C136" s="4">
        <v>2598.0</v>
      </c>
    </row>
    <row r="137" ht="15.75" customHeight="1">
      <c r="A137" s="1" t="s">
        <v>421</v>
      </c>
      <c r="B137" s="4" t="s">
        <v>422</v>
      </c>
      <c r="C137" s="4">
        <v>5.0</v>
      </c>
    </row>
    <row r="138" ht="15.75" customHeight="1">
      <c r="A138" s="1" t="s">
        <v>424</v>
      </c>
      <c r="B138" s="4" t="s">
        <v>425</v>
      </c>
      <c r="C138" s="4">
        <v>16012.0</v>
      </c>
    </row>
    <row r="139" ht="15.75" customHeight="1">
      <c r="A139" s="1" t="s">
        <v>427</v>
      </c>
      <c r="B139" s="4" t="s">
        <v>428</v>
      </c>
      <c r="C139" s="4">
        <v>204.0</v>
      </c>
    </row>
    <row r="140" ht="15.75" customHeight="1">
      <c r="A140" s="1" t="s">
        <v>429</v>
      </c>
      <c r="B140" s="4" t="s">
        <v>430</v>
      </c>
      <c r="C140" s="4">
        <v>11381.0</v>
      </c>
    </row>
    <row r="141" ht="15.75" customHeight="1">
      <c r="A141" s="1" t="s">
        <v>431</v>
      </c>
      <c r="B141" s="4" t="s">
        <v>432</v>
      </c>
      <c r="C141" s="4">
        <v>11745.0</v>
      </c>
    </row>
    <row r="142" ht="15.75" customHeight="1">
      <c r="A142" s="1" t="s">
        <v>435</v>
      </c>
      <c r="B142" s="4" t="s">
        <v>436</v>
      </c>
      <c r="C142" s="4">
        <v>53444.0</v>
      </c>
    </row>
    <row r="143" ht="15.75" customHeight="1">
      <c r="A143" s="1" t="s">
        <v>437</v>
      </c>
      <c r="B143" s="4" t="s">
        <v>438</v>
      </c>
      <c r="C143" s="4">
        <v>12164.0</v>
      </c>
    </row>
    <row r="144" ht="15.75" customHeight="1">
      <c r="A144" s="1" t="s">
        <v>439</v>
      </c>
      <c r="B144" s="4" t="s">
        <v>440</v>
      </c>
      <c r="C144" s="4">
        <v>14789.0</v>
      </c>
    </row>
    <row r="145" ht="15.75" customHeight="1">
      <c r="A145" s="1" t="s">
        <v>441</v>
      </c>
      <c r="B145" s="4" t="s">
        <v>442</v>
      </c>
      <c r="C145" s="4">
        <v>16224.0</v>
      </c>
    </row>
    <row r="146" ht="15.75" customHeight="1">
      <c r="A146" s="1" t="s">
        <v>445</v>
      </c>
      <c r="B146" s="4" t="s">
        <v>446</v>
      </c>
      <c r="C146" s="4">
        <v>25980.0</v>
      </c>
    </row>
    <row r="147" ht="15.75" customHeight="1">
      <c r="A147" s="1" t="s">
        <v>448</v>
      </c>
      <c r="B147" s="4" t="s">
        <v>449</v>
      </c>
      <c r="C147" s="4">
        <v>13498.0</v>
      </c>
    </row>
    <row r="148" ht="15.75" customHeight="1">
      <c r="A148" s="1" t="s">
        <v>450</v>
      </c>
      <c r="B148" s="4" t="s">
        <v>451</v>
      </c>
      <c r="C148" s="4">
        <v>16363.0</v>
      </c>
    </row>
    <row r="149" ht="15.75" customHeight="1">
      <c r="A149" s="1" t="s">
        <v>453</v>
      </c>
      <c r="B149" s="4" t="s">
        <v>454</v>
      </c>
      <c r="C149" s="4">
        <v>14464.0</v>
      </c>
    </row>
    <row r="150" ht="15.75" customHeight="1">
      <c r="A150" s="1" t="s">
        <v>456</v>
      </c>
      <c r="B150" s="4" t="s">
        <v>457</v>
      </c>
      <c r="C150" s="4">
        <v>10026.0</v>
      </c>
    </row>
    <row r="151" ht="15.75" customHeight="1">
      <c r="A151" s="1" t="s">
        <v>459</v>
      </c>
      <c r="B151" s="4" t="s">
        <v>460</v>
      </c>
      <c r="C151" s="4">
        <v>7626.0</v>
      </c>
    </row>
    <row r="152" ht="15.75" customHeight="1">
      <c r="A152" s="1" t="s">
        <v>463</v>
      </c>
      <c r="B152" s="4" t="s">
        <v>465</v>
      </c>
      <c r="C152" s="4">
        <v>11722.0</v>
      </c>
    </row>
    <row r="153" ht="15.75" customHeight="1">
      <c r="A153" s="1" t="s">
        <v>466</v>
      </c>
      <c r="B153" s="4" t="s">
        <v>468</v>
      </c>
      <c r="C153" s="4">
        <v>24319.0</v>
      </c>
    </row>
    <row r="154" ht="15.75" customHeight="1">
      <c r="A154" s="1" t="s">
        <v>469</v>
      </c>
      <c r="B154" s="4" t="s">
        <v>471</v>
      </c>
      <c r="C154" s="4">
        <v>44795.0</v>
      </c>
    </row>
    <row r="155" ht="15.75" customHeight="1">
      <c r="A155" s="1" t="s">
        <v>472</v>
      </c>
      <c r="B155" s="4" t="s">
        <v>474</v>
      </c>
      <c r="C155" s="4">
        <v>10599.0</v>
      </c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44.29"/>
    <col customWidth="1" min="3" max="6" width="14.43"/>
  </cols>
  <sheetData>
    <row r="1" ht="15.75" customHeight="1">
      <c r="A1" s="4" t="s">
        <v>0</v>
      </c>
      <c r="B1" s="4" t="s">
        <v>3</v>
      </c>
      <c r="C1" s="4" t="s">
        <v>4</v>
      </c>
    </row>
    <row r="2" ht="15.75" customHeight="1">
      <c r="A2" s="4" t="s">
        <v>253</v>
      </c>
      <c r="B2" s="4" t="s">
        <v>254</v>
      </c>
      <c r="C2" s="4">
        <v>9717.0</v>
      </c>
    </row>
    <row r="3" ht="15.75" customHeight="1">
      <c r="A3" s="4" t="s">
        <v>25</v>
      </c>
      <c r="B3" s="4" t="s">
        <v>26</v>
      </c>
      <c r="C3" s="4">
        <v>9285.0</v>
      </c>
    </row>
    <row r="4" ht="15.75" customHeight="1">
      <c r="A4" s="4" t="s">
        <v>367</v>
      </c>
      <c r="B4" s="4" t="s">
        <v>368</v>
      </c>
      <c r="C4" s="4">
        <v>7424.0</v>
      </c>
    </row>
    <row r="5" ht="15.75" customHeight="1">
      <c r="A5" s="4" t="s">
        <v>243</v>
      </c>
      <c r="B5" s="4" t="s">
        <v>244</v>
      </c>
      <c r="C5" s="4">
        <v>9921.0</v>
      </c>
    </row>
    <row r="6" ht="15.75" customHeight="1">
      <c r="A6" s="4" t="s">
        <v>62</v>
      </c>
      <c r="B6" s="4" t="s">
        <v>63</v>
      </c>
      <c r="C6" s="4">
        <v>24997.0</v>
      </c>
    </row>
    <row r="7" ht="15.75" customHeight="1">
      <c r="A7" s="4" t="s">
        <v>361</v>
      </c>
      <c r="B7" s="4" t="s">
        <v>362</v>
      </c>
      <c r="C7" s="4">
        <v>7779.0</v>
      </c>
    </row>
    <row r="8" ht="15.75" customHeight="1">
      <c r="A8" s="4" t="s">
        <v>44</v>
      </c>
      <c r="B8" s="4" t="s">
        <v>45</v>
      </c>
      <c r="C8" s="4">
        <v>13731.0</v>
      </c>
    </row>
    <row r="9" ht="15.75" customHeight="1">
      <c r="A9" s="4" t="s">
        <v>429</v>
      </c>
      <c r="B9" s="4" t="s">
        <v>430</v>
      </c>
      <c r="C9" s="4">
        <v>11381.0</v>
      </c>
    </row>
    <row r="10" ht="15.75" customHeight="1">
      <c r="A10" s="4" t="s">
        <v>335</v>
      </c>
      <c r="B10" s="4" t="s">
        <v>336</v>
      </c>
      <c r="C10" s="4">
        <v>6782.0</v>
      </c>
    </row>
    <row r="11" ht="15.75" customHeight="1">
      <c r="A11" s="4" t="s">
        <v>66</v>
      </c>
      <c r="B11" s="4" t="s">
        <v>67</v>
      </c>
      <c r="C11" s="4">
        <v>6011.0</v>
      </c>
    </row>
    <row r="12" ht="15.75" customHeight="1">
      <c r="A12" s="4" t="s">
        <v>20</v>
      </c>
      <c r="B12" s="4" t="s">
        <v>21</v>
      </c>
      <c r="C12" s="4">
        <v>6980.0</v>
      </c>
    </row>
    <row r="13" ht="15.75" customHeight="1">
      <c r="A13" s="4" t="s">
        <v>456</v>
      </c>
      <c r="B13" s="4" t="s">
        <v>457</v>
      </c>
      <c r="C13" s="4">
        <v>10026.0</v>
      </c>
    </row>
    <row r="14" ht="15.75" customHeight="1">
      <c r="A14" s="4" t="s">
        <v>55</v>
      </c>
      <c r="B14" s="4" t="s">
        <v>56</v>
      </c>
      <c r="C14" s="4">
        <v>9053.0</v>
      </c>
    </row>
    <row r="15" ht="15.75" customHeight="1">
      <c r="A15" s="4" t="s">
        <v>383</v>
      </c>
      <c r="B15" s="4" t="s">
        <v>384</v>
      </c>
      <c r="C15" s="4">
        <v>9641.0</v>
      </c>
    </row>
    <row r="16" ht="15.75" customHeight="1">
      <c r="A16" s="4" t="s">
        <v>406</v>
      </c>
      <c r="B16" s="4" t="s">
        <v>407</v>
      </c>
      <c r="C16" s="4">
        <v>10789.0</v>
      </c>
    </row>
    <row r="17" ht="15.75" customHeight="1">
      <c r="A17" s="4" t="s">
        <v>431</v>
      </c>
      <c r="B17" s="4" t="s">
        <v>432</v>
      </c>
      <c r="C17" s="4">
        <v>11745.0</v>
      </c>
    </row>
    <row r="18" ht="15.75" customHeight="1">
      <c r="A18" s="4" t="s">
        <v>49</v>
      </c>
      <c r="B18" s="4" t="s">
        <v>50</v>
      </c>
      <c r="C18" s="4">
        <v>27863.0</v>
      </c>
    </row>
    <row r="19" ht="15.75" customHeight="1">
      <c r="A19" s="4" t="s">
        <v>441</v>
      </c>
      <c r="B19" s="4" t="s">
        <v>442</v>
      </c>
      <c r="C19" s="4">
        <v>16224.0</v>
      </c>
    </row>
    <row r="20" ht="15.75" customHeight="1">
      <c r="A20" s="4" t="s">
        <v>165</v>
      </c>
      <c r="B20" s="4" t="s">
        <v>166</v>
      </c>
      <c r="C20" s="4">
        <v>11164.0</v>
      </c>
    </row>
    <row r="21" ht="15.75" customHeight="1">
      <c r="A21" s="4" t="s">
        <v>393</v>
      </c>
      <c r="B21" s="4" t="s">
        <v>394</v>
      </c>
      <c r="C21" s="4">
        <v>15688.0</v>
      </c>
    </row>
    <row r="22" ht="15.75" customHeight="1">
      <c r="A22" s="4" t="s">
        <v>211</v>
      </c>
      <c r="B22" s="4" t="s">
        <v>212</v>
      </c>
      <c r="C22" s="4">
        <v>8640.0</v>
      </c>
    </row>
    <row r="23" ht="15.75" customHeight="1">
      <c r="A23" s="4" t="s">
        <v>234</v>
      </c>
      <c r="B23" s="4" t="s">
        <v>235</v>
      </c>
      <c r="C23" s="4">
        <v>21065.0</v>
      </c>
    </row>
    <row r="24" ht="15.75" customHeight="1">
      <c r="A24" s="4" t="s">
        <v>127</v>
      </c>
      <c r="B24" s="4" t="s">
        <v>128</v>
      </c>
      <c r="C24" s="4">
        <v>14581.0</v>
      </c>
    </row>
    <row r="25" ht="15.75" customHeight="1">
      <c r="A25" s="4" t="s">
        <v>263</v>
      </c>
      <c r="B25" s="4" t="s">
        <v>264</v>
      </c>
      <c r="C25" s="4">
        <v>19424.0</v>
      </c>
    </row>
    <row r="26" ht="15.75" customHeight="1">
      <c r="A26" s="4" t="s">
        <v>239</v>
      </c>
      <c r="B26" s="4" t="s">
        <v>240</v>
      </c>
      <c r="C26" s="4">
        <v>12083.0</v>
      </c>
    </row>
    <row r="27" ht="15.75" customHeight="1">
      <c r="A27" s="4" t="s">
        <v>245</v>
      </c>
      <c r="B27" s="4" t="s">
        <v>246</v>
      </c>
      <c r="C27" s="4">
        <v>6353.0</v>
      </c>
    </row>
    <row r="28" ht="15.75" customHeight="1">
      <c r="A28" s="4" t="s">
        <v>412</v>
      </c>
      <c r="B28" s="4" t="s">
        <v>413</v>
      </c>
      <c r="C28" s="4">
        <v>3073.0</v>
      </c>
    </row>
    <row r="29" ht="15.75" customHeight="1">
      <c r="A29" s="4" t="s">
        <v>79</v>
      </c>
      <c r="B29" s="4" t="s">
        <v>80</v>
      </c>
      <c r="C29" s="4">
        <v>132.0</v>
      </c>
    </row>
    <row r="30" ht="15.75" customHeight="1">
      <c r="A30" s="4" t="s">
        <v>419</v>
      </c>
      <c r="B30" s="4" t="s">
        <v>420</v>
      </c>
      <c r="C30" s="4">
        <v>2598.0</v>
      </c>
    </row>
    <row r="31" ht="15.75" customHeight="1">
      <c r="A31" s="4" t="s">
        <v>415</v>
      </c>
      <c r="B31" s="4" t="s">
        <v>416</v>
      </c>
      <c r="C31" s="4">
        <v>905.0</v>
      </c>
    </row>
    <row r="32" ht="15.75" customHeight="1">
      <c r="A32" s="4" t="s">
        <v>311</v>
      </c>
      <c r="B32" s="4" t="s">
        <v>312</v>
      </c>
      <c r="C32" s="4">
        <v>3.0</v>
      </c>
    </row>
    <row r="33" ht="15.75" customHeight="1">
      <c r="A33" s="4" t="s">
        <v>182</v>
      </c>
      <c r="B33" s="4" t="s">
        <v>183</v>
      </c>
      <c r="C33" s="4">
        <v>10713.0</v>
      </c>
    </row>
    <row r="34" ht="15.75" customHeight="1">
      <c r="A34" s="4" t="s">
        <v>421</v>
      </c>
      <c r="B34" s="4" t="s">
        <v>422</v>
      </c>
      <c r="C34" s="4">
        <v>5.0</v>
      </c>
    </row>
    <row r="35" ht="15.75" customHeight="1">
      <c r="A35" s="4" t="s">
        <v>356</v>
      </c>
      <c r="B35" s="4" t="s">
        <v>357</v>
      </c>
      <c r="C35" s="4">
        <v>340.0</v>
      </c>
    </row>
    <row r="36" ht="15.75" customHeight="1">
      <c r="A36" s="4" t="s">
        <v>389</v>
      </c>
      <c r="B36" s="4" t="s">
        <v>390</v>
      </c>
      <c r="C36" s="4">
        <v>10310.0</v>
      </c>
    </row>
    <row r="37" ht="15.75" customHeight="1">
      <c r="A37" s="4" t="s">
        <v>266</v>
      </c>
      <c r="B37" s="4" t="s">
        <v>267</v>
      </c>
      <c r="C37" s="4">
        <v>10529.0</v>
      </c>
    </row>
    <row r="38" ht="15.75" customHeight="1">
      <c r="A38" s="4" t="s">
        <v>171</v>
      </c>
      <c r="B38" s="4" t="s">
        <v>172</v>
      </c>
      <c r="C38" s="4">
        <v>9697.0</v>
      </c>
    </row>
    <row r="39" ht="15.75" customHeight="1">
      <c r="A39" s="4" t="s">
        <v>168</v>
      </c>
      <c r="B39" s="4" t="s">
        <v>169</v>
      </c>
      <c r="C39" s="4">
        <v>9563.0</v>
      </c>
    </row>
    <row r="40" ht="15.75" customHeight="1">
      <c r="A40" s="4" t="s">
        <v>321</v>
      </c>
      <c r="B40" s="4" t="s">
        <v>322</v>
      </c>
      <c r="C40" s="4">
        <v>10286.0</v>
      </c>
    </row>
    <row r="41" ht="15.75" customHeight="1">
      <c r="A41" s="4" t="s">
        <v>173</v>
      </c>
      <c r="B41" s="4" t="s">
        <v>174</v>
      </c>
      <c r="C41" s="4">
        <v>11165.0</v>
      </c>
    </row>
    <row r="42" ht="15.75" customHeight="1">
      <c r="A42" s="4" t="s">
        <v>302</v>
      </c>
      <c r="B42" s="4" t="s">
        <v>303</v>
      </c>
      <c r="C42" s="4">
        <v>11193.0</v>
      </c>
    </row>
    <row r="43" ht="15.75" customHeight="1">
      <c r="A43" s="4" t="s">
        <v>417</v>
      </c>
      <c r="B43" s="4" t="s">
        <v>418</v>
      </c>
      <c r="C43" s="4">
        <v>12613.0</v>
      </c>
    </row>
    <row r="44" ht="15.75" customHeight="1">
      <c r="A44" s="4" t="s">
        <v>46</v>
      </c>
      <c r="B44" s="4" t="s">
        <v>47</v>
      </c>
      <c r="C44" s="4">
        <v>11780.0</v>
      </c>
    </row>
    <row r="45" ht="15.75" customHeight="1">
      <c r="A45" s="4" t="s">
        <v>162</v>
      </c>
      <c r="B45" s="4" t="s">
        <v>163</v>
      </c>
      <c r="C45" s="4">
        <v>12392.0</v>
      </c>
    </row>
    <row r="46" ht="15.75" customHeight="1">
      <c r="A46" s="4" t="s">
        <v>218</v>
      </c>
      <c r="B46" s="4" t="s">
        <v>219</v>
      </c>
      <c r="C46" s="4">
        <v>15480.0</v>
      </c>
    </row>
    <row r="47" ht="15.75" customHeight="1">
      <c r="A47" s="4" t="s">
        <v>409</v>
      </c>
      <c r="B47" s="4" t="s">
        <v>410</v>
      </c>
      <c r="C47" s="4">
        <v>11403.0</v>
      </c>
    </row>
    <row r="48" ht="15.75" customHeight="1">
      <c r="A48" s="4" t="s">
        <v>290</v>
      </c>
      <c r="B48" s="4" t="s">
        <v>291</v>
      </c>
      <c r="C48" s="4">
        <v>22471.0</v>
      </c>
    </row>
    <row r="49" ht="15.75" customHeight="1">
      <c r="A49" s="4" t="s">
        <v>76</v>
      </c>
      <c r="B49" s="4" t="s">
        <v>77</v>
      </c>
      <c r="C49" s="4">
        <v>16559.0</v>
      </c>
    </row>
    <row r="50" ht="15.75" customHeight="1">
      <c r="A50" s="4" t="s">
        <v>371</v>
      </c>
      <c r="B50" s="4" t="s">
        <v>372</v>
      </c>
      <c r="C50" s="4">
        <v>9139.0</v>
      </c>
    </row>
    <row r="51" ht="15.75" customHeight="1">
      <c r="A51" s="4" t="s">
        <v>386</v>
      </c>
      <c r="B51" s="4" t="s">
        <v>387</v>
      </c>
      <c r="C51" s="4">
        <v>13984.0</v>
      </c>
    </row>
    <row r="52" ht="15.75" customHeight="1">
      <c r="A52" s="4" t="s">
        <v>448</v>
      </c>
      <c r="B52" s="4" t="s">
        <v>449</v>
      </c>
      <c r="C52" s="4">
        <v>13498.0</v>
      </c>
    </row>
    <row r="53" ht="15.75" customHeight="1">
      <c r="A53" s="4" t="s">
        <v>93</v>
      </c>
      <c r="B53" s="4" t="s">
        <v>94</v>
      </c>
      <c r="C53" s="4">
        <v>13202.0</v>
      </c>
    </row>
    <row r="54" ht="15.75" customHeight="1">
      <c r="A54" s="4" t="s">
        <v>270</v>
      </c>
      <c r="B54" s="4" t="s">
        <v>271</v>
      </c>
      <c r="C54" s="4">
        <v>14242.0</v>
      </c>
    </row>
    <row r="55" ht="15.75" customHeight="1">
      <c r="A55" s="4" t="s">
        <v>445</v>
      </c>
      <c r="B55" s="4" t="s">
        <v>446</v>
      </c>
      <c r="C55" s="4">
        <v>25980.0</v>
      </c>
    </row>
    <row r="56" ht="15.75" customHeight="1">
      <c r="A56" s="4" t="s">
        <v>148</v>
      </c>
      <c r="B56" s="4" t="s">
        <v>149</v>
      </c>
      <c r="C56" s="4">
        <v>18214.0</v>
      </c>
    </row>
    <row r="57" ht="15.75" customHeight="1">
      <c r="A57" s="4" t="s">
        <v>260</v>
      </c>
      <c r="B57" s="4" t="s">
        <v>261</v>
      </c>
      <c r="C57" s="4">
        <v>42260.0</v>
      </c>
    </row>
    <row r="58" ht="15.75" customHeight="1">
      <c r="A58" s="4" t="s">
        <v>323</v>
      </c>
      <c r="B58" s="4" t="s">
        <v>324</v>
      </c>
      <c r="C58" s="4">
        <v>12815.0</v>
      </c>
    </row>
    <row r="59" ht="15.75" customHeight="1">
      <c r="A59" s="4" t="s">
        <v>95</v>
      </c>
      <c r="B59" s="4" t="s">
        <v>96</v>
      </c>
      <c r="C59" s="4">
        <v>36243.0</v>
      </c>
    </row>
    <row r="60" ht="15.75" customHeight="1">
      <c r="A60" s="4" t="s">
        <v>472</v>
      </c>
      <c r="B60" s="4" t="s">
        <v>474</v>
      </c>
      <c r="C60" s="4">
        <v>10599.0</v>
      </c>
    </row>
    <row r="61" ht="15.75" customHeight="1">
      <c r="A61" s="4" t="s">
        <v>437</v>
      </c>
      <c r="B61" s="4" t="s">
        <v>438</v>
      </c>
      <c r="C61" s="4">
        <v>12164.0</v>
      </c>
    </row>
    <row r="62" ht="15.75" customHeight="1">
      <c r="A62" s="4" t="s">
        <v>232</v>
      </c>
      <c r="B62" s="4" t="s">
        <v>233</v>
      </c>
      <c r="C62" s="4">
        <v>9745.0</v>
      </c>
    </row>
    <row r="63" ht="15.75" customHeight="1">
      <c r="A63" s="4" t="s">
        <v>402</v>
      </c>
      <c r="B63" s="4" t="s">
        <v>403</v>
      </c>
      <c r="C63" s="4">
        <v>9203.0</v>
      </c>
    </row>
    <row r="64" ht="15.75" customHeight="1">
      <c r="A64" s="4" t="s">
        <v>374</v>
      </c>
      <c r="B64" s="4" t="s">
        <v>375</v>
      </c>
      <c r="C64" s="4">
        <v>10920.0</v>
      </c>
    </row>
    <row r="65" ht="15.75" customHeight="1">
      <c r="A65" s="4" t="s">
        <v>85</v>
      </c>
      <c r="B65" s="4" t="s">
        <v>86</v>
      </c>
      <c r="C65" s="4">
        <v>12255.0</v>
      </c>
    </row>
    <row r="66" ht="15.75" customHeight="1">
      <c r="A66" s="4" t="s">
        <v>439</v>
      </c>
      <c r="B66" s="4" t="s">
        <v>440</v>
      </c>
      <c r="C66" s="4">
        <v>14789.0</v>
      </c>
    </row>
    <row r="67" ht="15.75" customHeight="1">
      <c r="A67" s="4" t="s">
        <v>224</v>
      </c>
      <c r="B67" s="4" t="s">
        <v>225</v>
      </c>
      <c r="C67" s="4">
        <v>13530.0</v>
      </c>
    </row>
    <row r="68" ht="15.75" customHeight="1">
      <c r="A68" s="4" t="s">
        <v>101</v>
      </c>
      <c r="B68" s="4" t="s">
        <v>102</v>
      </c>
      <c r="C68" s="4">
        <v>13413.0</v>
      </c>
    </row>
    <row r="69" ht="15.75" customHeight="1">
      <c r="A69" s="4" t="s">
        <v>215</v>
      </c>
      <c r="B69" s="4" t="s">
        <v>216</v>
      </c>
      <c r="C69" s="4">
        <v>16962.0</v>
      </c>
    </row>
    <row r="70" ht="15.75" customHeight="1">
      <c r="A70" s="4" t="s">
        <v>58</v>
      </c>
      <c r="B70" s="4" t="s">
        <v>59</v>
      </c>
      <c r="C70" s="4">
        <v>12380.0</v>
      </c>
    </row>
    <row r="71" ht="15.75" customHeight="1">
      <c r="A71" s="4" t="s">
        <v>236</v>
      </c>
      <c r="B71" s="4" t="s">
        <v>237</v>
      </c>
      <c r="C71" s="4">
        <v>13620.0</v>
      </c>
    </row>
    <row r="72" ht="15.75" customHeight="1">
      <c r="A72" s="4" t="s">
        <v>332</v>
      </c>
      <c r="B72" s="4" t="s">
        <v>333</v>
      </c>
      <c r="C72" s="4">
        <v>11024.0</v>
      </c>
    </row>
    <row r="73" ht="15.75" customHeight="1">
      <c r="A73" s="4" t="s">
        <v>397</v>
      </c>
      <c r="B73" s="4" t="s">
        <v>398</v>
      </c>
      <c r="C73" s="4">
        <v>11401.0</v>
      </c>
    </row>
    <row r="74" ht="15.75" customHeight="1">
      <c r="A74" s="4" t="s">
        <v>227</v>
      </c>
      <c r="B74" s="4" t="s">
        <v>228</v>
      </c>
      <c r="C74" s="4">
        <v>18968.0</v>
      </c>
    </row>
    <row r="75" ht="15.75" customHeight="1">
      <c r="A75" s="4" t="s">
        <v>103</v>
      </c>
      <c r="B75" s="4" t="s">
        <v>104</v>
      </c>
      <c r="C75" s="4">
        <v>11387.0</v>
      </c>
    </row>
    <row r="76" ht="15.75" customHeight="1">
      <c r="A76" s="4" t="s">
        <v>280</v>
      </c>
      <c r="B76" s="4" t="s">
        <v>281</v>
      </c>
      <c r="C76" s="4">
        <v>19890.0</v>
      </c>
    </row>
    <row r="77" ht="15.75" customHeight="1">
      <c r="A77" s="4" t="s">
        <v>395</v>
      </c>
      <c r="B77" s="4" t="s">
        <v>396</v>
      </c>
      <c r="C77" s="4">
        <v>17490.0</v>
      </c>
    </row>
    <row r="78" ht="15.75" customHeight="1">
      <c r="A78" s="4" t="s">
        <v>347</v>
      </c>
      <c r="B78" s="4" t="s">
        <v>348</v>
      </c>
      <c r="C78" s="4">
        <v>11955.0</v>
      </c>
    </row>
    <row r="79" ht="15.75" customHeight="1">
      <c r="A79" s="4" t="s">
        <v>459</v>
      </c>
      <c r="B79" s="4" t="s">
        <v>460</v>
      </c>
      <c r="C79" s="4">
        <v>7626.0</v>
      </c>
    </row>
    <row r="80" ht="15.75" customHeight="1">
      <c r="A80" s="4" t="s">
        <v>81</v>
      </c>
      <c r="B80" s="4" t="s">
        <v>82</v>
      </c>
      <c r="C80" s="4">
        <v>10383.0</v>
      </c>
    </row>
    <row r="81" ht="15.75" customHeight="1">
      <c r="A81" s="4" t="s">
        <v>292</v>
      </c>
      <c r="B81" s="4" t="s">
        <v>293</v>
      </c>
      <c r="C81" s="4">
        <v>27.0</v>
      </c>
    </row>
    <row r="82" ht="15.75" customHeight="1">
      <c r="A82" s="4" t="s">
        <v>157</v>
      </c>
      <c r="B82" s="4" t="s">
        <v>158</v>
      </c>
      <c r="C82" s="4">
        <v>17216.0</v>
      </c>
    </row>
    <row r="83" ht="15.75" customHeight="1">
      <c r="A83" s="4" t="s">
        <v>249</v>
      </c>
      <c r="B83" s="4" t="s">
        <v>250</v>
      </c>
      <c r="C83" s="4">
        <v>12947.0</v>
      </c>
    </row>
    <row r="84" ht="15.75" customHeight="1">
      <c r="A84" s="4" t="s">
        <v>453</v>
      </c>
      <c r="B84" s="4" t="s">
        <v>454</v>
      </c>
      <c r="C84" s="4">
        <v>14464.0</v>
      </c>
    </row>
    <row r="85" ht="15.75" customHeight="1">
      <c r="A85" s="4" t="s">
        <v>29</v>
      </c>
      <c r="B85" s="4" t="s">
        <v>30</v>
      </c>
      <c r="C85" s="4">
        <v>15369.0</v>
      </c>
    </row>
    <row r="86" ht="15.75" customHeight="1">
      <c r="A86" s="4" t="s">
        <v>277</v>
      </c>
      <c r="B86" s="4" t="s">
        <v>278</v>
      </c>
      <c r="C86" s="4">
        <v>17514.0</v>
      </c>
    </row>
    <row r="87" ht="15.75" customHeight="1">
      <c r="A87" s="4" t="s">
        <v>208</v>
      </c>
      <c r="B87" s="4" t="s">
        <v>209</v>
      </c>
      <c r="C87" s="4">
        <v>18268.0</v>
      </c>
    </row>
    <row r="88" ht="15.75" customHeight="1">
      <c r="A88" s="4" t="s">
        <v>38</v>
      </c>
      <c r="B88" s="4" t="s">
        <v>39</v>
      </c>
      <c r="C88" s="4">
        <v>15797.0</v>
      </c>
    </row>
    <row r="89" ht="15.75" customHeight="1">
      <c r="A89" s="4" t="s">
        <v>286</v>
      </c>
      <c r="B89" s="4" t="s">
        <v>287</v>
      </c>
      <c r="C89" s="4">
        <v>15446.0</v>
      </c>
    </row>
    <row r="90" ht="15.75" customHeight="1">
      <c r="A90" s="4" t="s">
        <v>405</v>
      </c>
      <c r="B90" s="4" t="s">
        <v>152</v>
      </c>
      <c r="C90" s="4">
        <v>256.0</v>
      </c>
    </row>
    <row r="91" ht="15.75" customHeight="1">
      <c r="A91" s="4" t="s">
        <v>151</v>
      </c>
      <c r="B91" s="4" t="s">
        <v>152</v>
      </c>
      <c r="C91" s="4">
        <v>381.0</v>
      </c>
    </row>
    <row r="92" ht="15.75" customHeight="1">
      <c r="A92" s="4" t="s">
        <v>463</v>
      </c>
      <c r="B92" s="4" t="s">
        <v>465</v>
      </c>
      <c r="C92" s="4">
        <v>11722.0</v>
      </c>
    </row>
    <row r="93" ht="15.75" customHeight="1">
      <c r="A93" s="4" t="s">
        <v>294</v>
      </c>
      <c r="B93" s="4" t="s">
        <v>295</v>
      </c>
      <c r="C93" s="4">
        <v>110623.0</v>
      </c>
    </row>
    <row r="94" ht="15.75" customHeight="1">
      <c r="A94" s="4" t="s">
        <v>194</v>
      </c>
      <c r="B94" s="4" t="s">
        <v>195</v>
      </c>
      <c r="C94" s="4">
        <v>13626.0</v>
      </c>
    </row>
    <row r="95" ht="15.75" customHeight="1">
      <c r="A95" s="4" t="s">
        <v>251</v>
      </c>
      <c r="B95" s="4" t="s">
        <v>252</v>
      </c>
      <c r="C95" s="4">
        <v>13403.0</v>
      </c>
    </row>
    <row r="96" ht="15.75" customHeight="1">
      <c r="A96" s="4" t="s">
        <v>185</v>
      </c>
      <c r="B96" s="4" t="s">
        <v>186</v>
      </c>
      <c r="C96" s="4">
        <v>18890.0</v>
      </c>
    </row>
    <row r="97" ht="15.75" customHeight="1">
      <c r="A97" s="4" t="s">
        <v>377</v>
      </c>
      <c r="B97" s="4" t="s">
        <v>378</v>
      </c>
      <c r="C97" s="4">
        <v>11661.0</v>
      </c>
    </row>
    <row r="98" ht="15.75" customHeight="1">
      <c r="A98" s="4" t="s">
        <v>116</v>
      </c>
      <c r="B98" s="4" t="s">
        <v>117</v>
      </c>
      <c r="C98" s="4">
        <v>12293.0</v>
      </c>
    </row>
    <row r="99" ht="15.75" customHeight="1">
      <c r="A99" s="4" t="s">
        <v>120</v>
      </c>
      <c r="B99" s="4" t="s">
        <v>121</v>
      </c>
      <c r="C99" s="4">
        <v>26794.0</v>
      </c>
    </row>
    <row r="100" ht="15.75" customHeight="1">
      <c r="A100" s="4" t="s">
        <v>129</v>
      </c>
      <c r="B100" s="4" t="s">
        <v>130</v>
      </c>
      <c r="C100" s="4">
        <v>28063.0</v>
      </c>
    </row>
    <row r="101" ht="15.75" customHeight="1">
      <c r="A101" s="4" t="s">
        <v>113</v>
      </c>
      <c r="B101" s="4" t="s">
        <v>114</v>
      </c>
      <c r="C101" s="4">
        <v>12905.0</v>
      </c>
    </row>
    <row r="102" ht="15.75" customHeight="1">
      <c r="A102" s="4" t="s">
        <v>213</v>
      </c>
      <c r="B102" s="4" t="s">
        <v>214</v>
      </c>
      <c r="C102" s="4">
        <v>18177.0</v>
      </c>
    </row>
    <row r="103" ht="15.75" customHeight="1">
      <c r="A103" s="4" t="s">
        <v>358</v>
      </c>
      <c r="B103" s="4" t="s">
        <v>359</v>
      </c>
      <c r="C103" s="4">
        <v>16071.0</v>
      </c>
    </row>
    <row r="104" ht="15.75" customHeight="1">
      <c r="A104" s="4" t="s">
        <v>247</v>
      </c>
      <c r="B104" s="4" t="s">
        <v>248</v>
      </c>
      <c r="C104" s="4">
        <v>22670.0</v>
      </c>
    </row>
    <row r="105" ht="15.75" customHeight="1">
      <c r="A105" s="4" t="s">
        <v>296</v>
      </c>
      <c r="B105" s="4" t="s">
        <v>297</v>
      </c>
      <c r="C105" s="4">
        <v>19895.0</v>
      </c>
    </row>
    <row r="106" ht="15.75" customHeight="1">
      <c r="A106" s="4" t="s">
        <v>255</v>
      </c>
      <c r="B106" s="4" t="s">
        <v>256</v>
      </c>
      <c r="C106" s="4">
        <v>19312.0</v>
      </c>
    </row>
    <row r="107" ht="15.75" customHeight="1">
      <c r="A107" s="4" t="s">
        <v>275</v>
      </c>
      <c r="B107" s="4" t="s">
        <v>276</v>
      </c>
      <c r="C107" s="4">
        <v>22534.0</v>
      </c>
    </row>
    <row r="108" ht="15.75" customHeight="1">
      <c r="A108" s="4" t="s">
        <v>89</v>
      </c>
      <c r="B108" s="4" t="s">
        <v>90</v>
      </c>
      <c r="C108" s="4">
        <v>17404.0</v>
      </c>
    </row>
    <row r="109" ht="15.75" customHeight="1">
      <c r="A109" s="4" t="s">
        <v>380</v>
      </c>
      <c r="B109" s="4" t="s">
        <v>381</v>
      </c>
      <c r="C109" s="4">
        <v>31776.0</v>
      </c>
    </row>
    <row r="110" ht="15.75" customHeight="1">
      <c r="A110" s="4" t="s">
        <v>382</v>
      </c>
      <c r="B110" s="4" t="s">
        <v>381</v>
      </c>
      <c r="C110" s="4">
        <v>111.0</v>
      </c>
    </row>
    <row r="111" ht="15.75" customHeight="1">
      <c r="A111" s="4" t="s">
        <v>313</v>
      </c>
      <c r="B111" s="4" t="s">
        <v>314</v>
      </c>
      <c r="C111" s="4">
        <v>62886.0</v>
      </c>
    </row>
    <row r="112" ht="15.75" customHeight="1">
      <c r="A112" s="4" t="s">
        <v>581</v>
      </c>
      <c r="B112" s="4" t="s">
        <v>92</v>
      </c>
      <c r="C112" s="4">
        <v>867.0</v>
      </c>
    </row>
    <row r="113" ht="15.75" customHeight="1">
      <c r="A113" s="4" t="s">
        <v>309</v>
      </c>
      <c r="B113" s="4" t="s">
        <v>310</v>
      </c>
      <c r="C113" s="4">
        <v>21468.0</v>
      </c>
    </row>
    <row r="114" ht="15.75" customHeight="1">
      <c r="A114" s="4" t="s">
        <v>305</v>
      </c>
      <c r="B114" s="4" t="s">
        <v>306</v>
      </c>
      <c r="C114" s="4">
        <v>384.0</v>
      </c>
    </row>
    <row r="115" ht="15.75" customHeight="1">
      <c r="A115" s="4" t="s">
        <v>315</v>
      </c>
      <c r="B115" s="4" t="s">
        <v>316</v>
      </c>
      <c r="C115" s="4">
        <v>11132.0</v>
      </c>
    </row>
    <row r="116" ht="15.75" customHeight="1">
      <c r="A116" s="4" t="s">
        <v>189</v>
      </c>
      <c r="B116" s="4" t="s">
        <v>190</v>
      </c>
      <c r="C116" s="4">
        <v>31647.0</v>
      </c>
    </row>
    <row r="117" ht="15.75" customHeight="1">
      <c r="A117" s="4" t="s">
        <v>450</v>
      </c>
      <c r="B117" s="4" t="s">
        <v>451</v>
      </c>
      <c r="C117" s="4">
        <v>16363.0</v>
      </c>
    </row>
    <row r="118" ht="15.75" customHeight="1">
      <c r="A118" s="4" t="s">
        <v>325</v>
      </c>
      <c r="B118" s="4" t="s">
        <v>326</v>
      </c>
      <c r="C118" s="4">
        <v>24497.0</v>
      </c>
    </row>
    <row r="119" ht="15.75" customHeight="1">
      <c r="A119" s="4" t="s">
        <v>229</v>
      </c>
      <c r="B119" s="4" t="s">
        <v>230</v>
      </c>
      <c r="C119" s="4">
        <v>23693.0</v>
      </c>
    </row>
    <row r="120" ht="15.75" customHeight="1">
      <c r="A120" s="4" t="s">
        <v>72</v>
      </c>
      <c r="B120" s="4" t="s">
        <v>73</v>
      </c>
      <c r="C120" s="4">
        <v>30303.0</v>
      </c>
    </row>
    <row r="121" ht="15.75" customHeight="1">
      <c r="A121" s="4" t="s">
        <v>339</v>
      </c>
      <c r="B121" s="4" t="s">
        <v>340</v>
      </c>
      <c r="C121" s="4">
        <v>34726.0</v>
      </c>
    </row>
    <row r="122" ht="15.75" customHeight="1">
      <c r="A122" s="4" t="s">
        <v>122</v>
      </c>
      <c r="B122" s="4" t="s">
        <v>123</v>
      </c>
      <c r="C122" s="4">
        <v>36870.0</v>
      </c>
    </row>
    <row r="123" ht="15.75" customHeight="1">
      <c r="A123" s="4" t="s">
        <v>204</v>
      </c>
      <c r="B123" s="4" t="s">
        <v>205</v>
      </c>
      <c r="C123" s="4">
        <v>57074.0</v>
      </c>
    </row>
    <row r="124" ht="15.75" customHeight="1">
      <c r="A124" s="4" t="s">
        <v>206</v>
      </c>
      <c r="B124" s="4" t="s">
        <v>207</v>
      </c>
      <c r="C124" s="4">
        <v>1208.0</v>
      </c>
    </row>
    <row r="125" ht="15.75" customHeight="1">
      <c r="A125" s="4" t="s">
        <v>201</v>
      </c>
      <c r="B125" s="4" t="s">
        <v>202</v>
      </c>
      <c r="C125" s="4">
        <v>1405.0</v>
      </c>
    </row>
    <row r="126" ht="15.75" customHeight="1">
      <c r="A126" s="4" t="s">
        <v>111</v>
      </c>
      <c r="B126" s="4" t="s">
        <v>112</v>
      </c>
      <c r="C126" s="4">
        <v>145822.0</v>
      </c>
    </row>
    <row r="127" ht="15.75" customHeight="1">
      <c r="A127" s="4" t="s">
        <v>198</v>
      </c>
      <c r="B127" s="4" t="s">
        <v>199</v>
      </c>
      <c r="C127" s="4">
        <v>170576.0</v>
      </c>
    </row>
    <row r="128" ht="15.75" customHeight="1">
      <c r="A128" s="4" t="s">
        <v>176</v>
      </c>
      <c r="B128" s="4" t="s">
        <v>177</v>
      </c>
      <c r="C128" s="4">
        <v>88730.0</v>
      </c>
    </row>
    <row r="129" ht="15.75" customHeight="1">
      <c r="A129" s="4" t="s">
        <v>353</v>
      </c>
      <c r="B129" s="4" t="s">
        <v>354</v>
      </c>
      <c r="C129" s="4">
        <v>25647.0</v>
      </c>
    </row>
    <row r="130" ht="15.75" customHeight="1">
      <c r="A130" s="4" t="s">
        <v>427</v>
      </c>
      <c r="B130" s="4" t="s">
        <v>428</v>
      </c>
      <c r="C130" s="4">
        <v>204.0</v>
      </c>
    </row>
    <row r="131" ht="15.75" customHeight="1">
      <c r="A131" s="4" t="s">
        <v>424</v>
      </c>
      <c r="B131" s="4" t="s">
        <v>425</v>
      </c>
      <c r="C131" s="4">
        <v>16012.0</v>
      </c>
    </row>
    <row r="132" ht="15.75" customHeight="1">
      <c r="A132" s="4" t="s">
        <v>268</v>
      </c>
      <c r="B132" s="4" t="s">
        <v>269</v>
      </c>
      <c r="C132" s="4">
        <v>50298.0</v>
      </c>
    </row>
    <row r="133" ht="15.75" customHeight="1">
      <c r="A133" s="4" t="s">
        <v>258</v>
      </c>
      <c r="B133" s="4" t="s">
        <v>259</v>
      </c>
      <c r="C133" s="4">
        <v>54455.0</v>
      </c>
    </row>
    <row r="134" ht="15.75" customHeight="1">
      <c r="A134" s="4" t="s">
        <v>153</v>
      </c>
      <c r="B134" s="4" t="s">
        <v>154</v>
      </c>
      <c r="C134" s="4">
        <v>59956.0</v>
      </c>
    </row>
    <row r="135" ht="15.75" customHeight="1">
      <c r="A135" s="4" t="s">
        <v>435</v>
      </c>
      <c r="B135" s="4" t="s">
        <v>436</v>
      </c>
      <c r="C135" s="4">
        <v>53444.0</v>
      </c>
    </row>
    <row r="136" ht="15.75" customHeight="1">
      <c r="A136" s="4" t="s">
        <v>466</v>
      </c>
      <c r="B136" s="4" t="s">
        <v>468</v>
      </c>
      <c r="C136" s="4">
        <v>24319.0</v>
      </c>
    </row>
    <row r="137" ht="15.75" customHeight="1">
      <c r="A137" s="4" t="s">
        <v>136</v>
      </c>
      <c r="B137" s="4" t="s">
        <v>137</v>
      </c>
      <c r="C137" s="4">
        <v>57362.0</v>
      </c>
    </row>
    <row r="138" ht="15.75" customHeight="1">
      <c r="A138" s="4" t="s">
        <v>300</v>
      </c>
      <c r="B138" s="4" t="s">
        <v>301</v>
      </c>
      <c r="C138" s="4">
        <v>35091.0</v>
      </c>
    </row>
    <row r="139" ht="15.75" customHeight="1">
      <c r="A139" s="4" t="s">
        <v>140</v>
      </c>
      <c r="B139" s="4" t="s">
        <v>141</v>
      </c>
      <c r="C139" s="4">
        <v>810.0</v>
      </c>
    </row>
    <row r="140" ht="15.75" customHeight="1">
      <c r="A140" s="4" t="s">
        <v>351</v>
      </c>
      <c r="B140" s="4" t="s">
        <v>352</v>
      </c>
      <c r="C140" s="4">
        <v>29241.0</v>
      </c>
    </row>
    <row r="141" ht="15.75" customHeight="1">
      <c r="A141" s="4" t="s">
        <v>107</v>
      </c>
      <c r="B141" s="4" t="s">
        <v>108</v>
      </c>
      <c r="C141" s="4">
        <v>26525.0</v>
      </c>
    </row>
    <row r="142" ht="15.75" customHeight="1">
      <c r="A142" s="4" t="s">
        <v>69</v>
      </c>
      <c r="B142" s="4" t="s">
        <v>70</v>
      </c>
      <c r="C142" s="4">
        <v>25784.0</v>
      </c>
    </row>
    <row r="143" ht="15.75" customHeight="1">
      <c r="A143" s="4" t="s">
        <v>34</v>
      </c>
      <c r="B143" s="4" t="s">
        <v>35</v>
      </c>
      <c r="C143" s="4">
        <v>35133.0</v>
      </c>
    </row>
    <row r="144" ht="15.75" customHeight="1">
      <c r="A144" s="59">
        <v>44222.0</v>
      </c>
      <c r="B144" s="4" t="s">
        <v>14</v>
      </c>
      <c r="C144" s="4">
        <v>27985.0</v>
      </c>
    </row>
    <row r="145" ht="15.75" customHeight="1">
      <c r="A145" s="4" t="s">
        <v>343</v>
      </c>
      <c r="B145" s="4" t="s">
        <v>344</v>
      </c>
      <c r="C145" s="4">
        <v>28914.0</v>
      </c>
    </row>
    <row r="146" ht="15.75" customHeight="1">
      <c r="A146" s="4" t="s">
        <v>178</v>
      </c>
      <c r="B146" s="4" t="s">
        <v>179</v>
      </c>
      <c r="C146" s="4">
        <v>23604.0</v>
      </c>
    </row>
    <row r="147" ht="15.75" customHeight="1">
      <c r="A147" s="4" t="s">
        <v>220</v>
      </c>
      <c r="B147" s="4" t="s">
        <v>221</v>
      </c>
      <c r="C147" s="4">
        <v>23824.0</v>
      </c>
    </row>
    <row r="148" ht="15.75" customHeight="1">
      <c r="A148" s="4" t="s">
        <v>283</v>
      </c>
      <c r="B148" s="4" t="s">
        <v>284</v>
      </c>
      <c r="C148" s="4">
        <v>32914.0</v>
      </c>
    </row>
    <row r="149" ht="15.75" customHeight="1">
      <c r="A149" s="4" t="s">
        <v>329</v>
      </c>
      <c r="B149" s="4" t="s">
        <v>330</v>
      </c>
      <c r="C149" s="4">
        <v>31312.0</v>
      </c>
    </row>
    <row r="150" ht="15.75" customHeight="1">
      <c r="A150" s="4" t="s">
        <v>253</v>
      </c>
      <c r="B150" s="4" t="s">
        <v>254</v>
      </c>
      <c r="C150" s="4">
        <v>9717.0</v>
      </c>
    </row>
    <row r="151" ht="15.75" customHeight="1">
      <c r="A151" s="4" t="s">
        <v>25</v>
      </c>
      <c r="B151" s="4" t="s">
        <v>26</v>
      </c>
      <c r="C151" s="4">
        <v>9285.0</v>
      </c>
    </row>
    <row r="152" ht="15.75" customHeight="1">
      <c r="A152" s="4" t="s">
        <v>367</v>
      </c>
      <c r="B152" s="4" t="s">
        <v>368</v>
      </c>
      <c r="C152" s="4">
        <v>7424.0</v>
      </c>
    </row>
    <row r="153" ht="15.75" customHeight="1">
      <c r="A153" s="4" t="s">
        <v>243</v>
      </c>
      <c r="B153" s="4" t="s">
        <v>244</v>
      </c>
      <c r="C153" s="4">
        <v>9921.0</v>
      </c>
    </row>
    <row r="154" ht="15.75" customHeight="1">
      <c r="A154" s="4" t="s">
        <v>62</v>
      </c>
      <c r="B154" s="4" t="s">
        <v>63</v>
      </c>
      <c r="C154" s="4">
        <v>24997.0</v>
      </c>
    </row>
    <row r="155" ht="15.75" customHeight="1">
      <c r="A155" s="4" t="s">
        <v>361</v>
      </c>
      <c r="B155" s="4" t="s">
        <v>362</v>
      </c>
      <c r="C155" s="4">
        <v>7779.0</v>
      </c>
    </row>
    <row r="156" ht="15.75" customHeight="1">
      <c r="A156" s="4" t="s">
        <v>44</v>
      </c>
      <c r="B156" s="4" t="s">
        <v>45</v>
      </c>
      <c r="C156" s="4">
        <v>13731.0</v>
      </c>
    </row>
    <row r="157" ht="15.75" customHeight="1">
      <c r="A157" s="4" t="s">
        <v>429</v>
      </c>
      <c r="B157" s="4" t="s">
        <v>430</v>
      </c>
      <c r="C157" s="4">
        <v>11381.0</v>
      </c>
    </row>
    <row r="158" ht="15.75" customHeight="1">
      <c r="A158" s="4" t="s">
        <v>335</v>
      </c>
      <c r="B158" s="4" t="s">
        <v>336</v>
      </c>
      <c r="C158" s="4">
        <v>6782.0</v>
      </c>
    </row>
    <row r="159" ht="15.75" customHeight="1">
      <c r="A159" s="4" t="s">
        <v>66</v>
      </c>
      <c r="B159" s="4" t="s">
        <v>67</v>
      </c>
      <c r="C159" s="4">
        <v>6011.0</v>
      </c>
    </row>
    <row r="160" ht="15.75" customHeight="1">
      <c r="A160" s="4" t="s">
        <v>20</v>
      </c>
      <c r="B160" s="4" t="s">
        <v>21</v>
      </c>
      <c r="C160" s="4">
        <v>6980.0</v>
      </c>
    </row>
    <row r="161" ht="15.75" customHeight="1">
      <c r="A161" s="4" t="s">
        <v>456</v>
      </c>
      <c r="B161" s="4" t="s">
        <v>457</v>
      </c>
      <c r="C161" s="4">
        <v>10026.0</v>
      </c>
    </row>
    <row r="162" ht="15.75" customHeight="1">
      <c r="A162" s="4" t="s">
        <v>55</v>
      </c>
      <c r="B162" s="4" t="s">
        <v>56</v>
      </c>
      <c r="C162" s="4">
        <v>9053.0</v>
      </c>
    </row>
    <row r="163" ht="15.75" customHeight="1">
      <c r="A163" s="4" t="s">
        <v>383</v>
      </c>
      <c r="B163" s="4" t="s">
        <v>384</v>
      </c>
      <c r="C163" s="4">
        <v>9641.0</v>
      </c>
    </row>
    <row r="164" ht="15.75" customHeight="1">
      <c r="A164" s="4" t="s">
        <v>406</v>
      </c>
      <c r="B164" s="4" t="s">
        <v>407</v>
      </c>
      <c r="C164" s="4">
        <v>10789.0</v>
      </c>
    </row>
    <row r="165" ht="15.75" customHeight="1">
      <c r="A165" s="4" t="s">
        <v>431</v>
      </c>
      <c r="B165" s="4" t="s">
        <v>432</v>
      </c>
      <c r="C165" s="4">
        <v>11745.0</v>
      </c>
    </row>
    <row r="166" ht="15.75" customHeight="1">
      <c r="A166" s="4" t="s">
        <v>49</v>
      </c>
      <c r="B166" s="4" t="s">
        <v>50</v>
      </c>
      <c r="C166" s="4">
        <v>27863.0</v>
      </c>
    </row>
    <row r="167" ht="15.75" customHeight="1">
      <c r="A167" s="4" t="s">
        <v>441</v>
      </c>
      <c r="B167" s="4" t="s">
        <v>442</v>
      </c>
      <c r="C167" s="4">
        <v>16224.0</v>
      </c>
    </row>
    <row r="168" ht="15.75" customHeight="1">
      <c r="A168" s="4" t="s">
        <v>165</v>
      </c>
      <c r="B168" s="4" t="s">
        <v>166</v>
      </c>
      <c r="C168" s="4">
        <v>11164.0</v>
      </c>
    </row>
    <row r="169" ht="15.75" customHeight="1">
      <c r="A169" s="4" t="s">
        <v>393</v>
      </c>
      <c r="B169" s="4" t="s">
        <v>394</v>
      </c>
      <c r="C169" s="4">
        <v>15688.0</v>
      </c>
    </row>
    <row r="170" ht="15.75" customHeight="1">
      <c r="A170" s="4" t="s">
        <v>211</v>
      </c>
      <c r="B170" s="4" t="s">
        <v>212</v>
      </c>
      <c r="C170" s="4">
        <v>8640.0</v>
      </c>
    </row>
    <row r="171" ht="15.75" customHeight="1">
      <c r="A171" s="4" t="s">
        <v>234</v>
      </c>
      <c r="B171" s="4" t="s">
        <v>235</v>
      </c>
      <c r="C171" s="4">
        <v>21065.0</v>
      </c>
    </row>
    <row r="172" ht="15.75" customHeight="1">
      <c r="A172" s="4" t="s">
        <v>127</v>
      </c>
      <c r="B172" s="4" t="s">
        <v>128</v>
      </c>
      <c r="C172" s="4">
        <v>14581.0</v>
      </c>
    </row>
    <row r="173" ht="15.75" customHeight="1">
      <c r="A173" s="4" t="s">
        <v>263</v>
      </c>
      <c r="B173" s="4" t="s">
        <v>264</v>
      </c>
      <c r="C173" s="4">
        <v>19424.0</v>
      </c>
    </row>
    <row r="174" ht="15.75" customHeight="1">
      <c r="A174" s="4" t="s">
        <v>239</v>
      </c>
      <c r="B174" s="4" t="s">
        <v>240</v>
      </c>
      <c r="C174" s="4">
        <v>12083.0</v>
      </c>
    </row>
    <row r="175" ht="15.75" customHeight="1">
      <c r="A175" s="4" t="s">
        <v>245</v>
      </c>
      <c r="B175" s="4" t="s">
        <v>246</v>
      </c>
      <c r="C175" s="4">
        <v>6353.0</v>
      </c>
    </row>
    <row r="176" ht="15.75" customHeight="1">
      <c r="A176" s="4" t="s">
        <v>412</v>
      </c>
      <c r="B176" s="4" t="s">
        <v>413</v>
      </c>
      <c r="C176" s="4">
        <v>3073.0</v>
      </c>
    </row>
    <row r="177" ht="15.75" customHeight="1">
      <c r="A177" s="4" t="s">
        <v>79</v>
      </c>
      <c r="B177" s="4" t="s">
        <v>80</v>
      </c>
      <c r="C177" s="4">
        <v>132.0</v>
      </c>
    </row>
    <row r="178" ht="15.75" customHeight="1">
      <c r="A178" s="4" t="s">
        <v>419</v>
      </c>
      <c r="B178" s="4" t="s">
        <v>420</v>
      </c>
      <c r="C178" s="4">
        <v>2598.0</v>
      </c>
    </row>
    <row r="179" ht="15.75" customHeight="1">
      <c r="A179" s="4" t="s">
        <v>415</v>
      </c>
      <c r="B179" s="4" t="s">
        <v>416</v>
      </c>
      <c r="C179" s="4">
        <v>905.0</v>
      </c>
    </row>
    <row r="180" ht="15.75" customHeight="1">
      <c r="A180" s="4" t="s">
        <v>311</v>
      </c>
      <c r="B180" s="4" t="s">
        <v>312</v>
      </c>
      <c r="C180" s="4">
        <v>3.0</v>
      </c>
    </row>
    <row r="181" ht="15.75" customHeight="1">
      <c r="A181" s="4" t="s">
        <v>182</v>
      </c>
      <c r="B181" s="4" t="s">
        <v>183</v>
      </c>
      <c r="C181" s="4">
        <v>10713.0</v>
      </c>
    </row>
    <row r="182" ht="15.75" customHeight="1">
      <c r="A182" s="4" t="s">
        <v>421</v>
      </c>
      <c r="B182" s="4" t="s">
        <v>422</v>
      </c>
      <c r="C182" s="4">
        <v>5.0</v>
      </c>
    </row>
    <row r="183" ht="15.75" customHeight="1">
      <c r="A183" s="4" t="s">
        <v>356</v>
      </c>
      <c r="B183" s="4" t="s">
        <v>357</v>
      </c>
      <c r="C183" s="4">
        <v>340.0</v>
      </c>
    </row>
    <row r="184" ht="15.75" customHeight="1">
      <c r="A184" s="4" t="s">
        <v>389</v>
      </c>
      <c r="B184" s="4" t="s">
        <v>390</v>
      </c>
      <c r="C184" s="4">
        <v>10310.0</v>
      </c>
    </row>
    <row r="185" ht="15.75" customHeight="1">
      <c r="A185" s="4" t="s">
        <v>266</v>
      </c>
      <c r="B185" s="4" t="s">
        <v>267</v>
      </c>
      <c r="C185" s="4">
        <v>10529.0</v>
      </c>
    </row>
    <row r="186" ht="15.75" customHeight="1">
      <c r="A186" s="4" t="s">
        <v>171</v>
      </c>
      <c r="B186" s="4" t="s">
        <v>172</v>
      </c>
      <c r="C186" s="4">
        <v>9697.0</v>
      </c>
    </row>
    <row r="187" ht="15.75" customHeight="1">
      <c r="A187" s="4" t="s">
        <v>168</v>
      </c>
      <c r="B187" s="4" t="s">
        <v>169</v>
      </c>
      <c r="C187" s="4">
        <v>9563.0</v>
      </c>
    </row>
    <row r="188" ht="15.75" customHeight="1">
      <c r="A188" s="4" t="s">
        <v>321</v>
      </c>
      <c r="B188" s="4" t="s">
        <v>322</v>
      </c>
      <c r="C188" s="4">
        <v>10286.0</v>
      </c>
    </row>
    <row r="189" ht="15.75" customHeight="1">
      <c r="A189" s="4" t="s">
        <v>173</v>
      </c>
      <c r="B189" s="4" t="s">
        <v>174</v>
      </c>
      <c r="C189" s="4">
        <v>11165.0</v>
      </c>
    </row>
    <row r="190" ht="15.75" customHeight="1">
      <c r="A190" s="4" t="s">
        <v>302</v>
      </c>
      <c r="B190" s="4" t="s">
        <v>303</v>
      </c>
      <c r="C190" s="4">
        <v>11193.0</v>
      </c>
    </row>
    <row r="191" ht="15.75" customHeight="1">
      <c r="A191" s="4" t="s">
        <v>417</v>
      </c>
      <c r="B191" s="4" t="s">
        <v>418</v>
      </c>
      <c r="C191" s="4">
        <v>12613.0</v>
      </c>
    </row>
    <row r="192" ht="15.75" customHeight="1">
      <c r="A192" s="4" t="s">
        <v>46</v>
      </c>
      <c r="B192" s="4" t="s">
        <v>47</v>
      </c>
      <c r="C192" s="4">
        <v>11780.0</v>
      </c>
    </row>
    <row r="193" ht="15.75" customHeight="1">
      <c r="A193" s="4" t="s">
        <v>162</v>
      </c>
      <c r="B193" s="4" t="s">
        <v>163</v>
      </c>
      <c r="C193" s="4">
        <v>12392.0</v>
      </c>
    </row>
    <row r="194" ht="15.75" customHeight="1">
      <c r="A194" s="4" t="s">
        <v>218</v>
      </c>
      <c r="B194" s="4" t="s">
        <v>219</v>
      </c>
      <c r="C194" s="4">
        <v>15480.0</v>
      </c>
    </row>
    <row r="195" ht="15.75" customHeight="1">
      <c r="A195" s="4" t="s">
        <v>409</v>
      </c>
      <c r="B195" s="4" t="s">
        <v>410</v>
      </c>
      <c r="C195" s="4">
        <v>11403.0</v>
      </c>
    </row>
    <row r="196" ht="15.75" customHeight="1">
      <c r="A196" s="4" t="s">
        <v>290</v>
      </c>
      <c r="B196" s="4" t="s">
        <v>291</v>
      </c>
      <c r="C196" s="4">
        <v>22471.0</v>
      </c>
    </row>
    <row r="197" ht="15.75" customHeight="1">
      <c r="A197" s="4" t="s">
        <v>76</v>
      </c>
      <c r="B197" s="4" t="s">
        <v>77</v>
      </c>
      <c r="C197" s="4">
        <v>16559.0</v>
      </c>
    </row>
    <row r="198" ht="15.75" customHeight="1">
      <c r="A198" s="4" t="s">
        <v>371</v>
      </c>
      <c r="B198" s="4" t="s">
        <v>372</v>
      </c>
      <c r="C198" s="4">
        <v>9139.0</v>
      </c>
    </row>
    <row r="199" ht="15.75" customHeight="1">
      <c r="A199" s="4" t="s">
        <v>386</v>
      </c>
      <c r="B199" s="4" t="s">
        <v>387</v>
      </c>
      <c r="C199" s="4">
        <v>13984.0</v>
      </c>
    </row>
    <row r="200" ht="15.75" customHeight="1">
      <c r="A200" s="4" t="s">
        <v>448</v>
      </c>
      <c r="B200" s="4" t="s">
        <v>449</v>
      </c>
      <c r="C200" s="4">
        <v>13498.0</v>
      </c>
    </row>
    <row r="201" ht="15.75" customHeight="1">
      <c r="A201" s="4" t="s">
        <v>93</v>
      </c>
      <c r="B201" s="4" t="s">
        <v>94</v>
      </c>
      <c r="C201" s="4">
        <v>13202.0</v>
      </c>
    </row>
    <row r="202" ht="15.75" customHeight="1">
      <c r="A202" s="4" t="s">
        <v>270</v>
      </c>
      <c r="B202" s="4" t="s">
        <v>271</v>
      </c>
      <c r="C202" s="4">
        <v>14242.0</v>
      </c>
    </row>
    <row r="203" ht="15.75" customHeight="1">
      <c r="A203" s="4" t="s">
        <v>445</v>
      </c>
      <c r="B203" s="4" t="s">
        <v>446</v>
      </c>
      <c r="C203" s="4">
        <v>25980.0</v>
      </c>
    </row>
    <row r="204" ht="15.75" customHeight="1">
      <c r="A204" s="4" t="s">
        <v>148</v>
      </c>
      <c r="B204" s="4" t="s">
        <v>149</v>
      </c>
      <c r="C204" s="4">
        <v>18214.0</v>
      </c>
    </row>
    <row r="205" ht="15.75" customHeight="1">
      <c r="A205" s="4" t="s">
        <v>260</v>
      </c>
      <c r="B205" s="4" t="s">
        <v>261</v>
      </c>
      <c r="C205" s="4">
        <v>42260.0</v>
      </c>
    </row>
    <row r="206" ht="15.75" customHeight="1">
      <c r="A206" s="4" t="s">
        <v>323</v>
      </c>
      <c r="B206" s="4" t="s">
        <v>324</v>
      </c>
      <c r="C206" s="4">
        <v>12815.0</v>
      </c>
    </row>
    <row r="207" ht="15.75" customHeight="1">
      <c r="A207" s="4" t="s">
        <v>95</v>
      </c>
      <c r="B207" s="4" t="s">
        <v>96</v>
      </c>
      <c r="C207" s="4">
        <v>36243.0</v>
      </c>
    </row>
    <row r="208" ht="15.75" customHeight="1">
      <c r="A208" s="4" t="s">
        <v>472</v>
      </c>
      <c r="B208" s="4" t="s">
        <v>474</v>
      </c>
      <c r="C208" s="4">
        <v>10599.0</v>
      </c>
    </row>
    <row r="209" ht="15.75" customHeight="1">
      <c r="A209" s="4" t="s">
        <v>437</v>
      </c>
      <c r="B209" s="4" t="s">
        <v>438</v>
      </c>
      <c r="C209" s="4">
        <v>12164.0</v>
      </c>
    </row>
    <row r="210" ht="15.75" customHeight="1">
      <c r="A210" s="4" t="s">
        <v>232</v>
      </c>
      <c r="B210" s="4" t="s">
        <v>233</v>
      </c>
      <c r="C210" s="4">
        <v>9745.0</v>
      </c>
    </row>
    <row r="211" ht="15.75" customHeight="1">
      <c r="A211" s="4" t="s">
        <v>402</v>
      </c>
      <c r="B211" s="4" t="s">
        <v>403</v>
      </c>
      <c r="C211" s="4">
        <v>9203.0</v>
      </c>
    </row>
    <row r="212" ht="15.75" customHeight="1">
      <c r="A212" s="4" t="s">
        <v>374</v>
      </c>
      <c r="B212" s="4" t="s">
        <v>375</v>
      </c>
      <c r="C212" s="4">
        <v>10920.0</v>
      </c>
    </row>
    <row r="213" ht="15.75" customHeight="1">
      <c r="A213" s="4" t="s">
        <v>85</v>
      </c>
      <c r="B213" s="4" t="s">
        <v>86</v>
      </c>
      <c r="C213" s="4">
        <v>12255.0</v>
      </c>
    </row>
    <row r="214" ht="15.75" customHeight="1">
      <c r="A214" s="4" t="s">
        <v>439</v>
      </c>
      <c r="B214" s="4" t="s">
        <v>440</v>
      </c>
      <c r="C214" s="4">
        <v>14789.0</v>
      </c>
    </row>
    <row r="215" ht="15.75" customHeight="1">
      <c r="A215" s="4" t="s">
        <v>224</v>
      </c>
      <c r="B215" s="4" t="s">
        <v>225</v>
      </c>
      <c r="C215" s="4">
        <v>13530.0</v>
      </c>
    </row>
    <row r="216" ht="15.75" customHeight="1">
      <c r="A216" s="4" t="s">
        <v>101</v>
      </c>
      <c r="B216" s="4" t="s">
        <v>102</v>
      </c>
      <c r="C216" s="4">
        <v>13413.0</v>
      </c>
    </row>
    <row r="217" ht="15.75" customHeight="1">
      <c r="A217" s="4" t="s">
        <v>215</v>
      </c>
      <c r="B217" s="4" t="s">
        <v>216</v>
      </c>
      <c r="C217" s="4">
        <v>16962.0</v>
      </c>
    </row>
    <row r="218" ht="15.75" customHeight="1">
      <c r="A218" s="4" t="s">
        <v>58</v>
      </c>
      <c r="B218" s="4" t="s">
        <v>59</v>
      </c>
      <c r="C218" s="4">
        <v>12380.0</v>
      </c>
    </row>
    <row r="219" ht="15.75" customHeight="1">
      <c r="A219" s="4" t="s">
        <v>236</v>
      </c>
      <c r="B219" s="4" t="s">
        <v>237</v>
      </c>
      <c r="C219" s="4">
        <v>13620.0</v>
      </c>
    </row>
    <row r="220" ht="15.75" customHeight="1">
      <c r="A220" s="4" t="s">
        <v>332</v>
      </c>
      <c r="B220" s="4" t="s">
        <v>333</v>
      </c>
      <c r="C220" s="4">
        <v>11024.0</v>
      </c>
    </row>
    <row r="221" ht="15.75" customHeight="1">
      <c r="A221" s="4" t="s">
        <v>397</v>
      </c>
      <c r="B221" s="4" t="s">
        <v>398</v>
      </c>
      <c r="C221" s="4">
        <v>11401.0</v>
      </c>
    </row>
    <row r="222" ht="15.75" customHeight="1">
      <c r="A222" s="4" t="s">
        <v>227</v>
      </c>
      <c r="B222" s="4" t="s">
        <v>228</v>
      </c>
      <c r="C222" s="4">
        <v>18968.0</v>
      </c>
    </row>
    <row r="223" ht="15.75" customHeight="1">
      <c r="A223" s="4" t="s">
        <v>103</v>
      </c>
      <c r="B223" s="4" t="s">
        <v>104</v>
      </c>
      <c r="C223" s="4">
        <v>11387.0</v>
      </c>
    </row>
    <row r="224" ht="15.75" customHeight="1">
      <c r="A224" s="4" t="s">
        <v>280</v>
      </c>
      <c r="B224" s="4" t="s">
        <v>281</v>
      </c>
      <c r="C224" s="4">
        <v>19890.0</v>
      </c>
    </row>
    <row r="225" ht="15.75" customHeight="1">
      <c r="A225" s="4" t="s">
        <v>395</v>
      </c>
      <c r="B225" s="4" t="s">
        <v>396</v>
      </c>
      <c r="C225" s="4">
        <v>17490.0</v>
      </c>
    </row>
    <row r="226" ht="15.75" customHeight="1">
      <c r="A226" s="4" t="s">
        <v>347</v>
      </c>
      <c r="B226" s="4" t="s">
        <v>348</v>
      </c>
      <c r="C226" s="4">
        <v>11955.0</v>
      </c>
    </row>
    <row r="227" ht="15.75" customHeight="1">
      <c r="A227" s="4" t="s">
        <v>459</v>
      </c>
      <c r="B227" s="4" t="s">
        <v>460</v>
      </c>
      <c r="C227" s="4">
        <v>7626.0</v>
      </c>
    </row>
    <row r="228" ht="15.75" customHeight="1">
      <c r="A228" s="4" t="s">
        <v>81</v>
      </c>
      <c r="B228" s="4" t="s">
        <v>82</v>
      </c>
      <c r="C228" s="4">
        <v>10383.0</v>
      </c>
    </row>
    <row r="229" ht="15.75" customHeight="1">
      <c r="A229" s="4" t="s">
        <v>292</v>
      </c>
      <c r="B229" s="4" t="s">
        <v>293</v>
      </c>
      <c r="C229" s="4">
        <v>27.0</v>
      </c>
    </row>
    <row r="230" ht="15.75" customHeight="1">
      <c r="A230" s="4" t="s">
        <v>157</v>
      </c>
      <c r="B230" s="4" t="s">
        <v>158</v>
      </c>
      <c r="C230" s="4">
        <v>17216.0</v>
      </c>
    </row>
    <row r="231" ht="15.75" customHeight="1">
      <c r="A231" s="4" t="s">
        <v>249</v>
      </c>
      <c r="B231" s="4" t="s">
        <v>250</v>
      </c>
      <c r="C231" s="4">
        <v>12947.0</v>
      </c>
    </row>
    <row r="232" ht="15.75" customHeight="1">
      <c r="A232" s="4" t="s">
        <v>453</v>
      </c>
      <c r="B232" s="4" t="s">
        <v>454</v>
      </c>
      <c r="C232" s="4">
        <v>14464.0</v>
      </c>
    </row>
    <row r="233" ht="15.75" customHeight="1">
      <c r="A233" s="4" t="s">
        <v>29</v>
      </c>
      <c r="B233" s="4" t="s">
        <v>30</v>
      </c>
      <c r="C233" s="4">
        <v>15369.0</v>
      </c>
    </row>
    <row r="234" ht="15.75" customHeight="1">
      <c r="A234" s="4" t="s">
        <v>277</v>
      </c>
      <c r="B234" s="4" t="s">
        <v>278</v>
      </c>
      <c r="C234" s="4">
        <v>17514.0</v>
      </c>
    </row>
    <row r="235" ht="15.75" customHeight="1">
      <c r="A235" s="4" t="s">
        <v>208</v>
      </c>
      <c r="B235" s="4" t="s">
        <v>209</v>
      </c>
      <c r="C235" s="4">
        <v>18268.0</v>
      </c>
    </row>
    <row r="236" ht="15.75" customHeight="1">
      <c r="A236" s="4" t="s">
        <v>38</v>
      </c>
      <c r="B236" s="4" t="s">
        <v>39</v>
      </c>
      <c r="C236" s="4">
        <v>15797.0</v>
      </c>
    </row>
    <row r="237" ht="15.75" customHeight="1">
      <c r="A237" s="4" t="s">
        <v>286</v>
      </c>
      <c r="B237" s="4" t="s">
        <v>287</v>
      </c>
      <c r="C237" s="4">
        <v>15446.0</v>
      </c>
    </row>
    <row r="238" ht="15.75" customHeight="1">
      <c r="A238" s="4" t="s">
        <v>405</v>
      </c>
      <c r="B238" s="4" t="s">
        <v>152</v>
      </c>
      <c r="C238" s="4">
        <v>256.0</v>
      </c>
    </row>
    <row r="239" ht="15.75" customHeight="1">
      <c r="A239" s="4" t="s">
        <v>151</v>
      </c>
      <c r="B239" s="4" t="s">
        <v>152</v>
      </c>
      <c r="C239" s="4">
        <v>381.0</v>
      </c>
    </row>
    <row r="240" ht="15.75" customHeight="1">
      <c r="A240" s="4" t="s">
        <v>463</v>
      </c>
      <c r="B240" s="4" t="s">
        <v>465</v>
      </c>
      <c r="C240" s="4">
        <v>11722.0</v>
      </c>
    </row>
    <row r="241" ht="15.75" customHeight="1">
      <c r="A241" s="4" t="s">
        <v>294</v>
      </c>
      <c r="B241" s="4" t="s">
        <v>295</v>
      </c>
      <c r="C241" s="4">
        <v>110623.0</v>
      </c>
    </row>
    <row r="242" ht="15.75" customHeight="1">
      <c r="A242" s="4" t="s">
        <v>194</v>
      </c>
      <c r="B242" s="4" t="s">
        <v>195</v>
      </c>
      <c r="C242" s="4">
        <v>13626.0</v>
      </c>
    </row>
    <row r="243" ht="15.75" customHeight="1">
      <c r="A243" s="4" t="s">
        <v>251</v>
      </c>
      <c r="B243" s="4" t="s">
        <v>252</v>
      </c>
      <c r="C243" s="4">
        <v>13403.0</v>
      </c>
    </row>
    <row r="244" ht="15.75" customHeight="1">
      <c r="A244" s="4" t="s">
        <v>185</v>
      </c>
      <c r="B244" s="4" t="s">
        <v>186</v>
      </c>
      <c r="C244" s="4">
        <v>18890.0</v>
      </c>
    </row>
    <row r="245" ht="15.75" customHeight="1">
      <c r="A245" s="4" t="s">
        <v>377</v>
      </c>
      <c r="B245" s="4" t="s">
        <v>378</v>
      </c>
      <c r="C245" s="4">
        <v>11661.0</v>
      </c>
    </row>
    <row r="246" ht="15.75" customHeight="1">
      <c r="A246" s="4" t="s">
        <v>116</v>
      </c>
      <c r="B246" s="4" t="s">
        <v>117</v>
      </c>
      <c r="C246" s="4">
        <v>12293.0</v>
      </c>
    </row>
    <row r="247" ht="15.75" customHeight="1">
      <c r="A247" s="4" t="s">
        <v>120</v>
      </c>
      <c r="B247" s="4" t="s">
        <v>121</v>
      </c>
      <c r="C247" s="4">
        <v>26794.0</v>
      </c>
    </row>
    <row r="248" ht="15.75" customHeight="1">
      <c r="A248" s="4" t="s">
        <v>129</v>
      </c>
      <c r="B248" s="4" t="s">
        <v>130</v>
      </c>
      <c r="C248" s="4">
        <v>28063.0</v>
      </c>
    </row>
    <row r="249" ht="15.75" customHeight="1">
      <c r="A249" s="4" t="s">
        <v>113</v>
      </c>
      <c r="B249" s="4" t="s">
        <v>114</v>
      </c>
      <c r="C249" s="4">
        <v>12905.0</v>
      </c>
    </row>
    <row r="250" ht="15.75" customHeight="1">
      <c r="A250" s="4" t="s">
        <v>213</v>
      </c>
      <c r="B250" s="4" t="s">
        <v>214</v>
      </c>
      <c r="C250" s="4">
        <v>18177.0</v>
      </c>
    </row>
    <row r="251" ht="15.75" customHeight="1">
      <c r="A251" s="4" t="s">
        <v>358</v>
      </c>
      <c r="B251" s="4" t="s">
        <v>359</v>
      </c>
      <c r="C251" s="4">
        <v>16071.0</v>
      </c>
    </row>
    <row r="252" ht="15.75" customHeight="1">
      <c r="A252" s="4" t="s">
        <v>247</v>
      </c>
      <c r="B252" s="4" t="s">
        <v>248</v>
      </c>
      <c r="C252" s="4">
        <v>22670.0</v>
      </c>
    </row>
    <row r="253" ht="15.75" customHeight="1">
      <c r="A253" s="4" t="s">
        <v>296</v>
      </c>
      <c r="B253" s="4" t="s">
        <v>297</v>
      </c>
      <c r="C253" s="4">
        <v>19895.0</v>
      </c>
    </row>
    <row r="254" ht="15.75" customHeight="1">
      <c r="A254" s="4" t="s">
        <v>255</v>
      </c>
      <c r="B254" s="4" t="s">
        <v>256</v>
      </c>
      <c r="C254" s="4">
        <v>19312.0</v>
      </c>
    </row>
    <row r="255" ht="15.75" customHeight="1">
      <c r="A255" s="4" t="s">
        <v>275</v>
      </c>
      <c r="B255" s="4" t="s">
        <v>276</v>
      </c>
      <c r="C255" s="4">
        <v>22534.0</v>
      </c>
    </row>
    <row r="256" ht="15.75" customHeight="1">
      <c r="A256" s="4" t="s">
        <v>89</v>
      </c>
      <c r="B256" s="4" t="s">
        <v>90</v>
      </c>
      <c r="C256" s="4">
        <v>17404.0</v>
      </c>
    </row>
    <row r="257" ht="15.75" customHeight="1">
      <c r="A257" s="4" t="s">
        <v>380</v>
      </c>
      <c r="B257" s="4" t="s">
        <v>381</v>
      </c>
      <c r="C257" s="4">
        <v>31776.0</v>
      </c>
    </row>
    <row r="258" ht="15.75" customHeight="1">
      <c r="A258" s="4" t="s">
        <v>382</v>
      </c>
      <c r="B258" s="4" t="s">
        <v>381</v>
      </c>
      <c r="C258" s="4">
        <v>111.0</v>
      </c>
    </row>
    <row r="259" ht="15.75" customHeight="1">
      <c r="A259" s="4" t="s">
        <v>313</v>
      </c>
      <c r="B259" s="4" t="s">
        <v>314</v>
      </c>
      <c r="C259" s="4">
        <v>62886.0</v>
      </c>
    </row>
    <row r="260" ht="15.75" customHeight="1">
      <c r="A260" s="4" t="s">
        <v>581</v>
      </c>
      <c r="B260" s="4" t="s">
        <v>92</v>
      </c>
      <c r="C260" s="4">
        <v>867.0</v>
      </c>
    </row>
    <row r="261" ht="15.75" customHeight="1">
      <c r="A261" s="4" t="s">
        <v>309</v>
      </c>
      <c r="B261" s="4" t="s">
        <v>310</v>
      </c>
      <c r="C261" s="4">
        <v>21468.0</v>
      </c>
    </row>
    <row r="262" ht="15.75" customHeight="1">
      <c r="A262" s="4" t="s">
        <v>305</v>
      </c>
      <c r="B262" s="4" t="s">
        <v>306</v>
      </c>
      <c r="C262" s="4">
        <v>384.0</v>
      </c>
    </row>
    <row r="263" ht="15.75" customHeight="1">
      <c r="A263" s="4" t="s">
        <v>315</v>
      </c>
      <c r="B263" s="4" t="s">
        <v>316</v>
      </c>
      <c r="C263" s="4">
        <v>11132.0</v>
      </c>
    </row>
    <row r="264" ht="15.75" customHeight="1">
      <c r="A264" s="4" t="s">
        <v>189</v>
      </c>
      <c r="B264" s="4" t="s">
        <v>190</v>
      </c>
      <c r="C264" s="4">
        <v>31647.0</v>
      </c>
    </row>
    <row r="265" ht="15.75" customHeight="1">
      <c r="A265" s="4" t="s">
        <v>450</v>
      </c>
      <c r="B265" s="4" t="s">
        <v>451</v>
      </c>
      <c r="C265" s="4">
        <v>16363.0</v>
      </c>
    </row>
    <row r="266" ht="15.75" customHeight="1">
      <c r="A266" s="4" t="s">
        <v>325</v>
      </c>
      <c r="B266" s="4" t="s">
        <v>326</v>
      </c>
      <c r="C266" s="4">
        <v>24497.0</v>
      </c>
    </row>
    <row r="267" ht="15.75" customHeight="1">
      <c r="A267" s="4" t="s">
        <v>229</v>
      </c>
      <c r="B267" s="4" t="s">
        <v>230</v>
      </c>
      <c r="C267" s="4">
        <v>23693.0</v>
      </c>
    </row>
    <row r="268" ht="15.75" customHeight="1">
      <c r="A268" s="4" t="s">
        <v>72</v>
      </c>
      <c r="B268" s="4" t="s">
        <v>73</v>
      </c>
      <c r="C268" s="4">
        <v>30303.0</v>
      </c>
    </row>
    <row r="269" ht="15.75" customHeight="1">
      <c r="A269" s="4" t="s">
        <v>339</v>
      </c>
      <c r="B269" s="4" t="s">
        <v>340</v>
      </c>
      <c r="C269" s="4">
        <v>34726.0</v>
      </c>
    </row>
    <row r="270" ht="15.75" customHeight="1">
      <c r="A270" s="4" t="s">
        <v>122</v>
      </c>
      <c r="B270" s="4" t="s">
        <v>123</v>
      </c>
      <c r="C270" s="4">
        <v>36870.0</v>
      </c>
    </row>
    <row r="271" ht="15.75" customHeight="1">
      <c r="A271" s="4" t="s">
        <v>204</v>
      </c>
      <c r="B271" s="4" t="s">
        <v>205</v>
      </c>
      <c r="C271" s="4">
        <v>57074.0</v>
      </c>
    </row>
    <row r="272" ht="15.75" customHeight="1">
      <c r="A272" s="4" t="s">
        <v>206</v>
      </c>
      <c r="B272" s="4" t="s">
        <v>207</v>
      </c>
      <c r="C272" s="4">
        <v>1208.0</v>
      </c>
    </row>
    <row r="273" ht="15.75" customHeight="1">
      <c r="A273" s="4" t="s">
        <v>201</v>
      </c>
      <c r="B273" s="4" t="s">
        <v>202</v>
      </c>
      <c r="C273" s="4">
        <v>1405.0</v>
      </c>
    </row>
    <row r="274" ht="15.75" customHeight="1">
      <c r="A274" s="4" t="s">
        <v>111</v>
      </c>
      <c r="B274" s="4" t="s">
        <v>112</v>
      </c>
      <c r="C274" s="4">
        <v>145822.0</v>
      </c>
    </row>
    <row r="275" ht="15.75" customHeight="1">
      <c r="A275" s="4" t="s">
        <v>198</v>
      </c>
      <c r="B275" s="4" t="s">
        <v>199</v>
      </c>
      <c r="C275" s="4">
        <v>170576.0</v>
      </c>
    </row>
    <row r="276" ht="15.75" customHeight="1">
      <c r="A276" s="4" t="s">
        <v>176</v>
      </c>
      <c r="B276" s="4" t="s">
        <v>177</v>
      </c>
      <c r="C276" s="4">
        <v>88730.0</v>
      </c>
    </row>
    <row r="277" ht="15.75" customHeight="1">
      <c r="A277" s="4" t="s">
        <v>353</v>
      </c>
      <c r="B277" s="4" t="s">
        <v>354</v>
      </c>
      <c r="C277" s="4">
        <v>25647.0</v>
      </c>
    </row>
    <row r="278" ht="15.75" customHeight="1">
      <c r="A278" s="4" t="s">
        <v>427</v>
      </c>
      <c r="B278" s="4" t="s">
        <v>428</v>
      </c>
      <c r="C278" s="4">
        <v>204.0</v>
      </c>
    </row>
    <row r="279" ht="15.75" customHeight="1">
      <c r="A279" s="4" t="s">
        <v>424</v>
      </c>
      <c r="B279" s="4" t="s">
        <v>425</v>
      </c>
      <c r="C279" s="4">
        <v>16012.0</v>
      </c>
    </row>
    <row r="280" ht="15.75" customHeight="1">
      <c r="A280" s="4" t="s">
        <v>268</v>
      </c>
      <c r="B280" s="4" t="s">
        <v>269</v>
      </c>
      <c r="C280" s="4">
        <v>50298.0</v>
      </c>
    </row>
    <row r="281" ht="15.75" customHeight="1">
      <c r="A281" s="4" t="s">
        <v>258</v>
      </c>
      <c r="B281" s="4" t="s">
        <v>259</v>
      </c>
      <c r="C281" s="4">
        <v>54455.0</v>
      </c>
    </row>
    <row r="282" ht="15.75" customHeight="1">
      <c r="A282" s="4" t="s">
        <v>153</v>
      </c>
      <c r="B282" s="4" t="s">
        <v>154</v>
      </c>
      <c r="C282" s="4">
        <v>59956.0</v>
      </c>
    </row>
    <row r="283" ht="15.75" customHeight="1">
      <c r="A283" s="4" t="s">
        <v>435</v>
      </c>
      <c r="B283" s="4" t="s">
        <v>436</v>
      </c>
      <c r="C283" s="4">
        <v>53444.0</v>
      </c>
    </row>
    <row r="284" ht="15.75" customHeight="1">
      <c r="A284" s="4" t="s">
        <v>466</v>
      </c>
      <c r="B284" s="4" t="s">
        <v>468</v>
      </c>
      <c r="C284" s="4">
        <v>24319.0</v>
      </c>
    </row>
    <row r="285" ht="15.75" customHeight="1">
      <c r="A285" s="4" t="s">
        <v>136</v>
      </c>
      <c r="B285" s="4" t="s">
        <v>137</v>
      </c>
      <c r="C285" s="4">
        <v>57362.0</v>
      </c>
    </row>
    <row r="286" ht="15.75" customHeight="1">
      <c r="A286" s="4" t="s">
        <v>300</v>
      </c>
      <c r="B286" s="4" t="s">
        <v>301</v>
      </c>
      <c r="C286" s="4">
        <v>35091.0</v>
      </c>
    </row>
    <row r="287" ht="15.75" customHeight="1">
      <c r="A287" s="4" t="s">
        <v>140</v>
      </c>
      <c r="B287" s="4" t="s">
        <v>141</v>
      </c>
      <c r="C287" s="4">
        <v>810.0</v>
      </c>
    </row>
    <row r="288" ht="15.75" customHeight="1">
      <c r="A288" s="4" t="s">
        <v>351</v>
      </c>
      <c r="B288" s="4" t="s">
        <v>352</v>
      </c>
      <c r="C288" s="4">
        <v>29241.0</v>
      </c>
    </row>
    <row r="289" ht="15.75" customHeight="1">
      <c r="A289" s="4" t="s">
        <v>107</v>
      </c>
      <c r="B289" s="4" t="s">
        <v>108</v>
      </c>
      <c r="C289" s="4">
        <v>26525.0</v>
      </c>
    </row>
    <row r="290" ht="15.75" customHeight="1">
      <c r="A290" s="4" t="s">
        <v>69</v>
      </c>
      <c r="B290" s="4" t="s">
        <v>70</v>
      </c>
      <c r="C290" s="4">
        <v>25784.0</v>
      </c>
    </row>
    <row r="291" ht="15.75" customHeight="1">
      <c r="A291" s="4" t="s">
        <v>34</v>
      </c>
      <c r="B291" s="4" t="s">
        <v>35</v>
      </c>
      <c r="C291" s="4">
        <v>35133.0</v>
      </c>
    </row>
    <row r="292" ht="15.75" customHeight="1">
      <c r="A292" s="59">
        <v>44222.0</v>
      </c>
      <c r="B292" s="4" t="s">
        <v>14</v>
      </c>
      <c r="C292" s="4">
        <v>27985.0</v>
      </c>
    </row>
    <row r="293" ht="15.75" customHeight="1">
      <c r="A293" s="4" t="s">
        <v>343</v>
      </c>
      <c r="B293" s="4" t="s">
        <v>344</v>
      </c>
      <c r="C293" s="4">
        <v>28914.0</v>
      </c>
    </row>
    <row r="294" ht="15.75" customHeight="1">
      <c r="A294" s="4" t="s">
        <v>178</v>
      </c>
      <c r="B294" s="4" t="s">
        <v>179</v>
      </c>
      <c r="C294" s="4">
        <v>23604.0</v>
      </c>
    </row>
    <row r="295" ht="15.75" customHeight="1">
      <c r="A295" s="4" t="s">
        <v>220</v>
      </c>
      <c r="B295" s="4" t="s">
        <v>221</v>
      </c>
      <c r="C295" s="4">
        <v>23824.0</v>
      </c>
    </row>
    <row r="296" ht="15.75" customHeight="1">
      <c r="A296" s="4" t="s">
        <v>283</v>
      </c>
      <c r="B296" s="4" t="s">
        <v>284</v>
      </c>
      <c r="C296" s="4">
        <v>32914.0</v>
      </c>
    </row>
    <row r="297" ht="15.75" customHeight="1">
      <c r="A297" s="4" t="s">
        <v>329</v>
      </c>
      <c r="B297" s="4" t="s">
        <v>330</v>
      </c>
      <c r="C297" s="4">
        <v>31312.0</v>
      </c>
    </row>
    <row r="298" ht="15.75" customHeight="1">
      <c r="A298" s="4" t="s">
        <v>318</v>
      </c>
      <c r="B298" s="4" t="s">
        <v>319</v>
      </c>
      <c r="C298" s="4">
        <v>30725.0</v>
      </c>
    </row>
    <row r="299" ht="15.75" customHeight="1">
      <c r="A299" s="4" t="s">
        <v>132</v>
      </c>
      <c r="B299" s="4" t="s">
        <v>133</v>
      </c>
      <c r="C299" s="4">
        <v>33756.0</v>
      </c>
    </row>
    <row r="300" ht="15.75" customHeight="1">
      <c r="A300" s="4" t="s">
        <v>125</v>
      </c>
      <c r="B300" s="4" t="s">
        <v>126</v>
      </c>
      <c r="C300" s="4">
        <v>40055.0</v>
      </c>
    </row>
    <row r="301" ht="15.75" customHeight="1">
      <c r="A301" s="4" t="s">
        <v>144</v>
      </c>
      <c r="B301" s="4" t="s">
        <v>145</v>
      </c>
      <c r="C301" s="4">
        <v>42522.0</v>
      </c>
    </row>
    <row r="302" ht="15.75" customHeight="1">
      <c r="A302" s="4" t="s">
        <v>469</v>
      </c>
      <c r="B302" s="4" t="s">
        <v>471</v>
      </c>
      <c r="C302" s="4">
        <v>44795.0</v>
      </c>
    </row>
    <row r="303" ht="15.75" customHeight="1">
      <c r="A303" s="4" t="s">
        <v>364</v>
      </c>
      <c r="B303" s="4" t="s">
        <v>365</v>
      </c>
      <c r="C303" s="4">
        <v>57324.0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